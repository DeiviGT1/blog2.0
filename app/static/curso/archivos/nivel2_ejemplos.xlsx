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ex" sheetId="1" state="visible" r:id="rId3"/>
    <sheet name="Abs References" sheetId="2" state="visible" r:id="rId4"/>
    <sheet name="IF Functions" sheetId="3" state="visible" r:id="rId5"/>
    <sheet name="SUMIFS" sheetId="4" state="visible" r:id="rId6"/>
    <sheet name="Text Functions" sheetId="5" state="visible" r:id="rId7"/>
    <sheet name="Date Functions" sheetId="6" state="visible" r:id="rId8"/>
    <sheet name="Validation" sheetId="7" state="visible" r:id="rId9"/>
    <sheet name="Named Ranges" sheetId="8" state="visible" r:id="rId10"/>
    <sheet name="PivotTable Data" sheetId="9" state="visible" r:id="rId11"/>
    <sheet name="Charts Adv Data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<sst xmlns="http://schemas.openxmlformats.org/spreadsheetml/2006/main" count="495" uniqueCount="230">
  <si>
    <t xml:space="preserve">Nivel 2 — Ejemplos</t>
  </si>
  <si>
    <t xml:space="preserve">  Workbook de referencia con ejemplos resueltos para cada modulo</t>
  </si>
  <si>
    <t xml:space="preserve">Abs References</t>
  </si>
  <si>
    <t xml:space="preserve">Mod 1: Absolute y Mixed References con tabla de doble entrada</t>
  </si>
  <si>
    <t xml:space="preserve">IF Functions</t>
  </si>
  <si>
    <t xml:space="preserve">Mod 2: IF, IFS, AND, OR con ejemplos practicos</t>
  </si>
  <si>
    <t xml:space="preserve">SUMIFS</t>
  </si>
  <si>
    <t xml:space="preserve">Mod 3: SUMIF, SUMIFS, COUNTIF, COUNTIFS, AVERAGEIFS</t>
  </si>
  <si>
    <t xml:space="preserve">Text Functions</t>
  </si>
  <si>
    <t xml:space="preserve">Mod 4: LEFT, RIGHT, MID, TRIM, CONCAT, TEXT</t>
  </si>
  <si>
    <t xml:space="preserve">Date Functions</t>
  </si>
  <si>
    <t xml:space="preserve">Mod 5: TODAY, DATEDIF, EDATE, NETWORKDAYS</t>
  </si>
  <si>
    <t xml:space="preserve">Validation</t>
  </si>
  <si>
    <t xml:space="preserve">Mod 6: Data Validation con Drop-down Lists</t>
  </si>
  <si>
    <t xml:space="preserve">Named Ranges</t>
  </si>
  <si>
    <t xml:space="preserve">Mod 7: Ejemplos de Named Ranges en formulas</t>
  </si>
  <si>
    <t xml:space="preserve">PivotTable Data</t>
  </si>
  <si>
    <t xml:space="preserve">Mod 8: Dataset para crear PivotTables</t>
  </si>
  <si>
    <t xml:space="preserve">Charts Adv Data</t>
  </si>
  <si>
    <t xml:space="preserve">Mod 9: Datos para Combo Charts y Sparklines</t>
  </si>
  <si>
    <t xml:space="preserve">Absolute &amp; Mixed References</t>
  </si>
  <si>
    <t xml:space="preserve">  Mod 1 — Tabla de precios con descuentos usando Mixed References</t>
  </si>
  <si>
    <t xml:space="preserve">Tabla de precios con descuento</t>
  </si>
  <si>
    <t xml:space="preserve">La formula en C7 es =$B7*(1-C$6). Copiada a todo el rango.</t>
  </si>
  <si>
    <t xml:space="preserve">Product</t>
  </si>
  <si>
    <t xml:space="preserve">Price</t>
  </si>
  <si>
    <t xml:space="preserve">Discount 10%</t>
  </si>
  <si>
    <t xml:space="preserve">Discount 15%</t>
  </si>
  <si>
    <t xml:space="preserve">Discount 20%</t>
  </si>
  <si>
    <t xml:space="preserve">Discount 25%</t>
  </si>
  <si>
    <t xml:space="preserve">Laptop Pro</t>
  </si>
  <si>
    <t xml:space="preserve">Monitor 27in</t>
  </si>
  <si>
    <t xml:space="preserve">Keyboard</t>
  </si>
  <si>
    <t xml:space="preserve">Mouse</t>
  </si>
  <si>
    <t xml:space="preserve">Webcam HD</t>
  </si>
  <si>
    <t xml:space="preserve">Formula en D7:</t>
  </si>
  <si>
    <t xml:space="preserve">$C7:</t>
  </si>
  <si>
    <t xml:space="preserve">Columna fija (precio siempre en C), fila se mueve (cada producto)</t>
  </si>
  <si>
    <t xml:space="preserve">D$6:</t>
  </si>
  <si>
    <t xml:space="preserve">Columna se mueve (cada descuento), fila fija (descuentos en fila 6)</t>
  </si>
  <si>
    <t xml:space="preserve">Funciones condicionales — Ejemplos</t>
  </si>
  <si>
    <t xml:space="preserve">  Mod 2 — IF, IFS, AND, OR aplicados a datos reales</t>
  </si>
  <si>
    <t xml:space="preserve">Student</t>
  </si>
  <si>
    <t xml:space="preserve">Score</t>
  </si>
  <si>
    <t xml:space="preserve">IF Result</t>
  </si>
  <si>
    <t xml:space="preserve">Formula</t>
  </si>
  <si>
    <t xml:space="preserve">IFS Result</t>
  </si>
  <si>
    <t xml:space="preserve">IFS Formula</t>
  </si>
  <si>
    <t xml:space="preserve">Ana</t>
  </si>
  <si>
    <t xml:space="preserve">Bob</t>
  </si>
  <si>
    <t xml:space="preserve">Carol</t>
  </si>
  <si>
    <t xml:space="preserve">David</t>
  </si>
  <si>
    <t xml:space="preserve">Eva</t>
  </si>
  <si>
    <t xml:space="preserve">Frank</t>
  </si>
  <si>
    <t xml:space="preserve">Ejemplo con AND/OR:</t>
  </si>
  <si>
    <t xml:space="preserve">Employee</t>
  </si>
  <si>
    <t xml:space="preserve">Sales</t>
  </si>
  <si>
    <t xml:space="preserve">Dept</t>
  </si>
  <si>
    <t xml:space="preserve">Result</t>
  </si>
  <si>
    <t xml:space="preserve">Marketing</t>
  </si>
  <si>
    <t xml:space="preserve">IT</t>
  </si>
  <si>
    <t xml:space="preserve">SUMIF, SUMIFS, COUNTIF, COUNTIFS</t>
  </si>
  <si>
    <t xml:space="preserve">  Mod 3 — Funciones de calculo condicional con datos de ventas</t>
  </si>
  <si>
    <t xml:space="preserve">Region</t>
  </si>
  <si>
    <t xml:space="preserve">Category</t>
  </si>
  <si>
    <t xml:space="preserve">Units</t>
  </si>
  <si>
    <t xml:space="preserve">Norte</t>
  </si>
  <si>
    <t xml:space="preserve">Electronics</t>
  </si>
  <si>
    <t xml:space="preserve">Laptop</t>
  </si>
  <si>
    <t xml:space="preserve">Accessories</t>
  </si>
  <si>
    <t xml:space="preserve">Sur</t>
  </si>
  <si>
    <t xml:space="preserve">Este</t>
  </si>
  <si>
    <t xml:space="preserve">Monitor</t>
  </si>
  <si>
    <t xml:space="preserve">Oeste</t>
  </si>
  <si>
    <t xml:space="preserve">Webcam</t>
  </si>
  <si>
    <t xml:space="preserve">Ejemplos de formulas condicionales</t>
  </si>
  <si>
    <t xml:space="preserve">Descripcion</t>
  </si>
  <si>
    <t xml:space="preserve">Resultado</t>
  </si>
  <si>
    <t xml:space="preserve">Sales del Norte</t>
  </si>
  <si>
    <t xml:space="preserve">Sales Norte + Electronics</t>
  </si>
  <si>
    <t xml:space="preserve">Cuantas ventas &gt; 10000</t>
  </si>
  <si>
    <t xml:space="preserve">Ventas Electronics en Sur</t>
  </si>
  <si>
    <t xml:space="preserve">Promedio Sales del Norte</t>
  </si>
  <si>
    <t xml:space="preserve">Ventas con Laptop</t>
  </si>
  <si>
    <t xml:space="preserve">Funciones de texto — Ejemplos</t>
  </si>
  <si>
    <t xml:space="preserve">  Mod 4 — LEFT, RIGHT, MID, TRIM, CONCAT, TEXT con datos reales</t>
  </si>
  <si>
    <t xml:space="preserve">Dato original</t>
  </si>
  <si>
    <t xml:space="preserve">Explicacion</t>
  </si>
  <si>
    <t xml:space="preserve">INV-2025-0034</t>
  </si>
  <si>
    <t xml:space="preserve">Primeros 3 caracteres</t>
  </si>
  <si>
    <t xml:space="preserve">Ultimos 4 caracteres</t>
  </si>
  <si>
    <t xml:space="preserve">4 caracteres desde posicion 5</t>
  </si>
  <si>
    <t xml:space="preserve">  Juan  Perez  </t>
  </si>
  <si>
    <t xml:space="preserve">Elimina espacios extra</t>
  </si>
  <si>
    <t xml:space="preserve">juan perez</t>
  </si>
  <si>
    <t xml:space="preserve">Primera letra mayuscula</t>
  </si>
  <si>
    <t xml:space="preserve">EXCEL COURSE</t>
  </si>
  <si>
    <t xml:space="preserve">Todo minusculas</t>
  </si>
  <si>
    <t xml:space="preserve">user@email.com</t>
  </si>
  <si>
    <t xml:space="preserve">Extrae usuario del email</t>
  </si>
  <si>
    <t xml:space="preserve">CONCAT y TEXTJOIN:</t>
  </si>
  <si>
    <t xml:space="preserve">Juan</t>
  </si>
  <si>
    <t xml:space="preserve">Perez</t>
  </si>
  <si>
    <t xml:space="preserve">45231 (numero)</t>
  </si>
  <si>
    <t xml:space="preserve">Funciones de fecha — Ejemplos</t>
  </si>
  <si>
    <t xml:space="preserve">  Mod 5 — TODAY, DATEDIF, EDATE, EOMONTH, NETWORKDAYS</t>
  </si>
  <si>
    <t xml:space="preserve">Notas</t>
  </si>
  <si>
    <t xml:space="preserve">Fecha de hoy</t>
  </si>
  <si>
    <t xml:space="preserve">Se actualiza automaticamente</t>
  </si>
  <si>
    <t xml:space="preserve">Ano de hoy</t>
  </si>
  <si>
    <t xml:space="preserve">Extrae el ano</t>
  </si>
  <si>
    <t xml:space="preserve">Mes de hoy</t>
  </si>
  <si>
    <t xml:space="preserve">Extrae el mes como numero</t>
  </si>
  <si>
    <t xml:space="preserve">Ultimo dia del mes actual</t>
  </si>
  <si>
    <t xml:space="preserve">0 = mes actual, 1 = proximo mes</t>
  </si>
  <si>
    <t xml:space="preserve">Hace 3 meses</t>
  </si>
  <si>
    <t xml:space="preserve">Negativo = meses atras</t>
  </si>
  <si>
    <t xml:space="preserve">Ejemplo DATEDIF y NETWORKDAYS</t>
  </si>
  <si>
    <t xml:space="preserve">Start Date</t>
  </si>
  <si>
    <t xml:space="preserve">Years</t>
  </si>
  <si>
    <t xml:space="preserve">Months</t>
  </si>
  <si>
    <t xml:space="preserve">Work Days to Today</t>
  </si>
  <si>
    <t xml:space="preserve">Ana Lopez</t>
  </si>
  <si>
    <t xml:space="preserve">2020-03-15</t>
  </si>
  <si>
    <t xml:space="preserve">Carlos Ruiz</t>
  </si>
  <si>
    <t xml:space="preserve">2018-07-01</t>
  </si>
  <si>
    <t xml:space="preserve">Maria Torres</t>
  </si>
  <si>
    <t xml:space="preserve">2022-01-10</t>
  </si>
  <si>
    <t xml:space="preserve">Data Validation — Ejemplo</t>
  </si>
  <si>
    <t xml:space="preserve">  Mod 6 — Drop-down Lists y validaciones</t>
  </si>
  <si>
    <t xml:space="preserve">Lista de opciones (fuente de la validacion):</t>
  </si>
  <si>
    <t xml:space="preserve">Pending</t>
  </si>
  <si>
    <t xml:space="preserve">In Progress</t>
  </si>
  <si>
    <t xml:space="preserve">Completed</t>
  </si>
  <si>
    <t xml:space="preserve">Cancelled</t>
  </si>
  <si>
    <t xml:space="preserve">Tabla con Drop-down en columna Status:</t>
  </si>
  <si>
    <t xml:space="preserve">Task</t>
  </si>
  <si>
    <t xml:space="preserve">Assigned To</t>
  </si>
  <si>
    <t xml:space="preserve">Due Date</t>
  </si>
  <si>
    <t xml:space="preserve">Status</t>
  </si>
  <si>
    <t xml:space="preserve">Setup database</t>
  </si>
  <si>
    <t xml:space="preserve">2025-04-15</t>
  </si>
  <si>
    <t xml:space="preserve">Design UI</t>
  </si>
  <si>
    <t xml:space="preserve">Carlos</t>
  </si>
  <si>
    <t xml:space="preserve">2025-04-20</t>
  </si>
  <si>
    <t xml:space="preserve">Write tests</t>
  </si>
  <si>
    <t xml:space="preserve">Maria</t>
  </si>
  <si>
    <t xml:space="preserve">2025-04-25</t>
  </si>
  <si>
    <t xml:space="preserve">Deploy v1</t>
  </si>
  <si>
    <t xml:space="preserve">2025-05-01</t>
  </si>
  <si>
    <t xml:space="preserve">Haz clic en las celdas amarillas de Status para ver el dropdown.</t>
  </si>
  <si>
    <t xml:space="preserve">Named Ranges — Ejemplos</t>
  </si>
  <si>
    <t xml:space="preserve">  Mod 7 — Como los nombres hacen las formulas mas legibles</t>
  </si>
  <si>
    <t xml:space="preserve">Sin Named Ranges</t>
  </si>
  <si>
    <t xml:space="preserve">Formula:</t>
  </si>
  <si>
    <t xml:space="preserve">Con Named Ranges</t>
  </si>
  <si>
    <t xml:space="preserve">Como crearlos:</t>
  </si>
  <si>
    <t xml:space="preserve">1. Selecciona el rango (ej: D2:D5000)</t>
  </si>
  <si>
    <t xml:space="preserve">2. Haz clic en el Name Box (izquierda de Formula Bar)</t>
  </si>
  <si>
    <t xml:space="preserve">3. Escribe el nombre (ej: Sales) y presiona Enter</t>
  </si>
  <si>
    <t xml:space="preserve">4. Repite para cada rango que quieras nombrar</t>
  </si>
  <si>
    <t xml:space="preserve">5. Formulas &gt; Name Manager para ver y gestionar todos</t>
  </si>
  <si>
    <t xml:space="preserve">Dataset para PivotTables</t>
  </si>
  <si>
    <t xml:space="preserve">  Mod 8 — Usa estos datos para crear PivotTables (Insert &gt; PivotTable)</t>
  </si>
  <si>
    <t xml:space="preserve">Instrucciones: Selecciona cualquier celda de la tabla y ve a Insert &gt; PivotTable &gt; New Worksheet.</t>
  </si>
  <si>
    <t xml:space="preserve">Date</t>
  </si>
  <si>
    <t xml:space="preserve">Salesperson</t>
  </si>
  <si>
    <t xml:space="preserve">2025-01-09</t>
  </si>
  <si>
    <t xml:space="preserve">Pedro Diaz</t>
  </si>
  <si>
    <t xml:space="preserve">2025-01-04</t>
  </si>
  <si>
    <t xml:space="preserve">2025-01-19</t>
  </si>
  <si>
    <t xml:space="preserve">2025-01-07</t>
  </si>
  <si>
    <t xml:space="preserve">2025-01-18</t>
  </si>
  <si>
    <t xml:space="preserve">Laura Gomez</t>
  </si>
  <si>
    <t xml:space="preserve">2025-01-14</t>
  </si>
  <si>
    <t xml:space="preserve">2025-02-25</t>
  </si>
  <si>
    <t xml:space="preserve">2025-02-04</t>
  </si>
  <si>
    <t xml:space="preserve">Juan Perez</t>
  </si>
  <si>
    <t xml:space="preserve">2025-02-26</t>
  </si>
  <si>
    <t xml:space="preserve">2025-02-27</t>
  </si>
  <si>
    <t xml:space="preserve">2025-02-07</t>
  </si>
  <si>
    <t xml:space="preserve">Cable</t>
  </si>
  <si>
    <t xml:space="preserve">2025-02-08</t>
  </si>
  <si>
    <t xml:space="preserve">2025-02-13</t>
  </si>
  <si>
    <t xml:space="preserve">2025-03-06</t>
  </si>
  <si>
    <t xml:space="preserve">2025-03-09</t>
  </si>
  <si>
    <t xml:space="preserve">2025-03-20</t>
  </si>
  <si>
    <t xml:space="preserve">2025-03-08</t>
  </si>
  <si>
    <t xml:space="preserve">2025-03-21</t>
  </si>
  <si>
    <t xml:space="preserve">2025-03-11</t>
  </si>
  <si>
    <t xml:space="preserve">2025-03-13</t>
  </si>
  <si>
    <t xml:space="preserve">2025-03-23</t>
  </si>
  <si>
    <t xml:space="preserve">2025-04-13</t>
  </si>
  <si>
    <t xml:space="preserve">2025-04-05</t>
  </si>
  <si>
    <t xml:space="preserve">2025-04-09</t>
  </si>
  <si>
    <t xml:space="preserve">2025-04-16</t>
  </si>
  <si>
    <t xml:space="preserve">2025-05-22</t>
  </si>
  <si>
    <t xml:space="preserve">2025-05-25</t>
  </si>
  <si>
    <t xml:space="preserve">2025-05-04</t>
  </si>
  <si>
    <t xml:space="preserve">2025-05-10</t>
  </si>
  <si>
    <t xml:space="preserve">2025-05-05</t>
  </si>
  <si>
    <t xml:space="preserve">2025-06-16</t>
  </si>
  <si>
    <t xml:space="preserve">2025-06-08</t>
  </si>
  <si>
    <t xml:space="preserve">2025-06-03</t>
  </si>
  <si>
    <t xml:space="preserve">2025-06-25</t>
  </si>
  <si>
    <t xml:space="preserve">2025-06-18</t>
  </si>
  <si>
    <t xml:space="preserve">2025-06-14</t>
  </si>
  <si>
    <t xml:space="preserve">2025-06-07</t>
  </si>
  <si>
    <t xml:space="preserve">2025-06-21</t>
  </si>
  <si>
    <t xml:space="preserve">Datos para Charts avanzados</t>
  </si>
  <si>
    <t xml:space="preserve">  Mod 9 — Combo Charts, Secondary Axis, Sparklines y Trendlines</t>
  </si>
  <si>
    <t xml:space="preserve">Datos para Combo Chart (barras + linea con Secondary Axis)</t>
  </si>
  <si>
    <t xml:space="preserve">Month</t>
  </si>
  <si>
    <t xml:space="preserve">Revenue</t>
  </si>
  <si>
    <t xml:space="preserve">Units Sold</t>
  </si>
  <si>
    <t xml:space="preserve">Avg Price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</si>
  <si>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</si>
  <si>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</si>
  <si>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</si>
  <si>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</si>
  <si>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</si>
  <si>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</si>
  <si>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1. Selecciona B5:D11 y crea un Combo Chart: Revenue como Column, Units como Line</t>
  </si>
  <si>
    <t xml:space="preserve">2. Pon Units Sold en Secondary Axis (clic derecho &gt; Format Data Series &gt; Secondary Axis)</t>
  </si>
  <si>
    <t xml:space="preserve">3. Agrega titulos de eje: izquierdo = Revenue (USD), derecho = Units</t>
  </si>
  <si>
    <t xml:space="preserve">4. Agrega Trendline a Revenue (Linear) con Display Equation</t>
  </si>
  <si>
    <t xml:space="preserve">Datos para Sparklines (tendencia por vendedor)</t>
  </si>
  <si>
    <t xml:space="preserve">Sparkline</t>
  </si>
  <si>
    <t xml:space="preserve">Insert &gt; Sparklines &gt; Line</t>
  </si>
  <si>
    <t xml:space="preserve">Para crear Sparklines: selecciona H columna, Insert &gt; Sparklines &gt; Line, Data Range = C:H de esa fila.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</si>
</sst>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%"/>
    <numFmt numFmtId="166" formatCode="#,##0"/>
    <numFmt numFmtId="167" formatCode="#,##0.00"/>
    <numFmt numFmtId="168" formatCode="General"/>
    <numFmt numFmtId="169" formatCode="mm/dd/yy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EDCAD0"/>
      <name val="Arial"/>
      <family val="0"/>
      <charset val="1"/>
    </font>
    <font>
      <b val="true"/>
      <sz val="10"/>
      <color rgb="FF7B1D32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3"/>
      <color rgb="FF520F1E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BF360C"/>
      <name val="Arial"/>
      <family val="0"/>
      <charset val="1"/>
    </font>
    <font>
      <b val="true"/>
      <sz val="11"/>
      <color rgb="FF1B5E20"/>
      <name val="Arial"/>
      <family val="0"/>
      <charset val="1"/>
    </font>
    <font>
      <sz val="10"/>
      <color rgb="FF1B5E2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7B1D32"/>
        <bgColor rgb="FF520F1E"/>
      </patternFill>
    </fill>
    <fill>
      <patternFill patternType="solid">
        <fgColor rgb="FFF9EAED"/>
        <bgColor rgb="FFFBE9E7"/>
      </patternFill>
    </fill>
    <fill>
      <patternFill patternType="solid">
        <fgColor rgb="FFFFF9C4"/>
        <bgColor rgb="FFFBE9E7"/>
      </patternFill>
    </fill>
    <fill>
      <patternFill patternType="solid">
        <fgColor rgb="FFFBE9E7"/>
        <bgColor rgb="FFF9EAED"/>
      </patternFill>
    </fill>
    <fill>
      <patternFill patternType="solid">
        <fgColor rgb="FFE8F5E9"/>
        <bgColor rgb="FFF9EAED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0E0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2"/>
      <rgbColor rgb="FF1B5E2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E8F5E9"/>
      <rgbColor rgb="FF520F1E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EAED"/>
      <rgbColor rgb="FFCCFFCC"/>
      <rgbColor rgb="FFFBE9E7"/>
      <rgbColor rgb="FF99CCFF"/>
      <rgbColor rgb="FFFF99CC"/>
      <rgbColor rgb="FFCC99FF"/>
      <rgbColor rgb="FFEDCAD0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5C480F"/>
      <rgbColor rgb="FFBF360C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C480F"/>
    <pageSetUpPr fitToPage="false"/>
  </sheetPr>
  <dimension ref="A1:J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0" min="2" style="0" width="1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21.7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5" customFormat="false" ht="15" hidden="false" customHeight="true" outlineLevel="0" collapsed="false">
      <c r="B5" s="3" t="s">
        <v>2</v>
      </c>
      <c r="C5" s="4" t="s">
        <v>3</v>
      </c>
      <c r="D5" s="4"/>
      <c r="E5" s="4"/>
      <c r="F5" s="4"/>
      <c r="G5" s="4"/>
      <c r="H5" s="4"/>
      <c r="I5" s="4"/>
    </row>
    <row r="6" customFormat="false" ht="15" hidden="false" customHeight="true" outlineLevel="0" collapsed="false">
      <c r="B6" s="3" t="s">
        <v>4</v>
      </c>
      <c r="C6" s="4" t="s">
        <v>5</v>
      </c>
      <c r="D6" s="4"/>
      <c r="E6" s="4"/>
      <c r="F6" s="4"/>
      <c r="G6" s="4"/>
      <c r="H6" s="4"/>
      <c r="I6" s="4"/>
    </row>
    <row r="7" customFormat="false" ht="15" hidden="false" customHeight="true" outlineLevel="0" collapsed="false">
      <c r="B7" s="3" t="s">
        <v>6</v>
      </c>
      <c r="C7" s="4" t="s">
        <v>7</v>
      </c>
      <c r="D7" s="4"/>
      <c r="E7" s="4"/>
      <c r="F7" s="4"/>
      <c r="G7" s="4"/>
      <c r="H7" s="4"/>
      <c r="I7" s="4"/>
    </row>
    <row r="8" customFormat="false" ht="15" hidden="false" customHeight="true" outlineLevel="0" collapsed="false">
      <c r="B8" s="3" t="s">
        <v>8</v>
      </c>
      <c r="C8" s="4" t="s">
        <v>9</v>
      </c>
      <c r="D8" s="4"/>
      <c r="E8" s="4"/>
      <c r="F8" s="4"/>
      <c r="G8" s="4"/>
      <c r="H8" s="4"/>
      <c r="I8" s="4"/>
    </row>
    <row r="9" customFormat="false" ht="15" hidden="false" customHeight="true" outlineLevel="0" collapsed="false">
      <c r="B9" s="3" t="s">
        <v>10</v>
      </c>
      <c r="C9" s="4" t="s">
        <v>11</v>
      </c>
      <c r="D9" s="4"/>
      <c r="E9" s="4"/>
      <c r="F9" s="4"/>
      <c r="G9" s="4"/>
      <c r="H9" s="4"/>
      <c r="I9" s="4"/>
    </row>
    <row r="10" customFormat="false" ht="15" hidden="false" customHeight="true" outlineLevel="0" collapsed="false">
      <c r="B10" s="3" t="s">
        <v>12</v>
      </c>
      <c r="C10" s="4" t="s">
        <v>13</v>
      </c>
      <c r="D10" s="4"/>
      <c r="E10" s="4"/>
      <c r="F10" s="4"/>
      <c r="G10" s="4"/>
      <c r="H10" s="4"/>
      <c r="I10" s="4"/>
    </row>
    <row r="11" customFormat="false" ht="15" hidden="false" customHeight="true" outlineLevel="0" collapsed="false">
      <c r="B11" s="3" t="s">
        <v>14</v>
      </c>
      <c r="C11" s="4" t="s">
        <v>15</v>
      </c>
      <c r="D11" s="4"/>
      <c r="E11" s="4"/>
      <c r="F11" s="4"/>
      <c r="G11" s="4"/>
      <c r="H11" s="4"/>
      <c r="I11" s="4"/>
    </row>
    <row r="12" customFormat="false" ht="15" hidden="false" customHeight="true" outlineLevel="0" collapsed="false">
      <c r="B12" s="3" t="s">
        <v>16</v>
      </c>
      <c r="C12" s="4" t="s">
        <v>17</v>
      </c>
      <c r="D12" s="4"/>
      <c r="E12" s="4"/>
      <c r="F12" s="4"/>
      <c r="G12" s="4"/>
      <c r="H12" s="4"/>
      <c r="I12" s="4"/>
    </row>
    <row r="13" customFormat="false" ht="15" hidden="false" customHeight="true" outlineLevel="0" collapsed="false">
      <c r="B13" s="3" t="s">
        <v>18</v>
      </c>
      <c r="C13" s="4" t="s">
        <v>19</v>
      </c>
      <c r="D13" s="4"/>
      <c r="E13" s="4"/>
      <c r="F13" s="4"/>
      <c r="G13" s="4"/>
      <c r="H13" s="4"/>
      <c r="I13" s="4"/>
    </row>
  </sheetData>
  <mergeCells count="11">
    <mergeCell ref="A1:J2"/>
    <mergeCell ref="A3:J3"/>
    <mergeCell ref="C5:I5"/>
    <mergeCell ref="C6:I6"/>
    <mergeCell ref="C7:I7"/>
    <mergeCell ref="C8:I8"/>
    <mergeCell ref="C9:I9"/>
    <mergeCell ref="C10:I10"/>
    <mergeCell ref="C11:I11"/>
    <mergeCell ref="C12:I12"/>
    <mergeCell ref="C13:I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D32"/>
    <pageSetUpPr fitToPage="false"/>
  </sheetPr>
  <dimension ref="A1:J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0" min="2" style="0" width="16"/>
  </cols>
  <sheetData>
    <row r="1" customFormat="false" ht="27.75" hidden="false" customHeight="true" outlineLevel="0" collapsed="false">
      <c r="A1" s="1" t="s">
        <v>20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21.75" hidden="false" customHeight="true" outlineLevel="0" collapsed="false">
      <c r="A3" s="2" t="s">
        <v>21</v>
      </c>
      <c r="B3" s="2"/>
      <c r="C3" s="2"/>
      <c r="D3" s="2"/>
      <c r="E3" s="2"/>
      <c r="F3" s="2"/>
      <c r="G3" s="2"/>
      <c r="H3" s="2"/>
      <c r="I3" s="2"/>
      <c r="J3" s="2"/>
    </row>
    <row r="5" customFormat="false" ht="16.15" hidden="false" customHeight="false" outlineLevel="0" collapsed="false">
      <c r="B5" s="5" t="s">
        <v>22</v>
      </c>
    </row>
    <row r="6" customFormat="false" ht="15" hidden="false" customHeight="false" outlineLevel="0" collapsed="false">
      <c r="B6" s="6" t="s">
        <v>23</v>
      </c>
      <c r="C6" s="6"/>
      <c r="D6" s="6"/>
      <c r="E6" s="6"/>
      <c r="F6" s="6"/>
      <c r="G6" s="6"/>
    </row>
    <row r="7" customFormat="false" ht="15" hidden="false" customHeight="false" outlineLevel="0" collapsed="false">
      <c r="D7" s="7" t="n">
        <v>0.1</v>
      </c>
      <c r="E7" s="7" t="n">
        <v>0.15</v>
      </c>
      <c r="F7" s="7" t="n">
        <v>0.2</v>
      </c>
      <c r="G7" s="7" t="n">
        <v>0.25</v>
      </c>
    </row>
    <row r="8" customFormat="false" ht="15" hidden="false" customHeight="false" outlineLevel="0" collapsed="false">
      <c r="B8" s="8" t="s">
        <v>24</v>
      </c>
      <c r="C8" s="8" t="s">
        <v>25</v>
      </c>
      <c r="D8" s="9" t="s">
        <v>26</v>
      </c>
      <c r="E8" s="9" t="s">
        <v>27</v>
      </c>
      <c r="F8" s="9" t="s">
        <v>28</v>
      </c>
      <c r="G8" s="9" t="s">
        <v>29</v>
      </c>
    </row>
    <row r="9" customFormat="false" ht="15" hidden="false" customHeight="false" outlineLevel="0" collapsed="false">
      <c r="B9" s="10" t="s">
        <v>30</v>
      </c>
      <c r="C9" s="11" t="n">
        <v>1200</v>
      </c>
      <c r="D9" s="12" t="n">
        <f aca="false">$C9*(1-D$7)</f>
        <v>1080</v>
      </c>
      <c r="E9" s="12" t="n">
        <f aca="false">$C9*(1-E$7)</f>
        <v>1020</v>
      </c>
      <c r="F9" s="12" t="n">
        <f aca="false">$C9*(1-F$7)</f>
        <v>960</v>
      </c>
      <c r="G9" s="12" t="n">
        <f aca="false">$C9*(1-G$7)</f>
        <v>900</v>
      </c>
    </row>
    <row r="10" customFormat="false" ht="15" hidden="false" customHeight="false" outlineLevel="0" collapsed="false">
      <c r="B10" s="10" t="s">
        <v>31</v>
      </c>
      <c r="C10" s="11" t="n">
        <v>400</v>
      </c>
      <c r="D10" s="12" t="n">
        <f aca="false">$C10*(1-D$7)</f>
        <v>360</v>
      </c>
      <c r="E10" s="12" t="n">
        <f aca="false">$C10*(1-E$7)</f>
        <v>340</v>
      </c>
      <c r="F10" s="12" t="n">
        <f aca="false">$C10*(1-F$7)</f>
        <v>320</v>
      </c>
      <c r="G10" s="12" t="n">
        <f aca="false">$C10*(1-G$7)</f>
        <v>300</v>
      </c>
    </row>
    <row r="11" customFormat="false" ht="15" hidden="false" customHeight="false" outlineLevel="0" collapsed="false">
      <c r="B11" s="10" t="s">
        <v>32</v>
      </c>
      <c r="C11" s="11" t="n">
        <v>60</v>
      </c>
      <c r="D11" s="12" t="n">
        <f aca="false">$C11*(1-D$7)</f>
        <v>54</v>
      </c>
      <c r="E11" s="12" t="n">
        <f aca="false">$C11*(1-E$7)</f>
        <v>51</v>
      </c>
      <c r="F11" s="12" t="n">
        <f aca="false">$C11*(1-F$7)</f>
        <v>48</v>
      </c>
      <c r="G11" s="12" t="n">
        <f aca="false">$C11*(1-G$7)</f>
        <v>45</v>
      </c>
    </row>
    <row r="12" customFormat="false" ht="15" hidden="false" customHeight="false" outlineLevel="0" collapsed="false">
      <c r="B12" s="10" t="s">
        <v>33</v>
      </c>
      <c r="C12" s="11" t="n">
        <v>25</v>
      </c>
      <c r="D12" s="12" t="n">
        <f aca="false">$C12*(1-D$7)</f>
        <v>22.5</v>
      </c>
      <c r="E12" s="12" t="n">
        <f aca="false">$C12*(1-E$7)</f>
        <v>21.25</v>
      </c>
      <c r="F12" s="12" t="n">
        <f aca="false">$C12*(1-F$7)</f>
        <v>20</v>
      </c>
      <c r="G12" s="12" t="n">
        <f aca="false">$C12*(1-G$7)</f>
        <v>18.75</v>
      </c>
    </row>
    <row r="13" customFormat="false" ht="15" hidden="false" customHeight="false" outlineLevel="0" collapsed="false">
      <c r="B13" s="10" t="s">
        <v>34</v>
      </c>
      <c r="C13" s="11" t="n">
        <v>85</v>
      </c>
      <c r="D13" s="12" t="n">
        <f aca="false">$C13*(1-D$7)</f>
        <v>76.5</v>
      </c>
      <c r="E13" s="12" t="n">
        <f aca="false">$C13*(1-E$7)</f>
        <v>72.25</v>
      </c>
      <c r="F13" s="12" t="n">
        <f aca="false">$C13*(1-F$7)</f>
        <v>68</v>
      </c>
      <c r="G13" s="12" t="n">
        <f aca="false">$C13*(1-G$7)</f>
        <v>63.75</v>
      </c>
    </row>
    <row r="16" customFormat="false" ht="15" hidden="false" customHeight="false" outlineLevel="0" collapsed="false">
      <c r="B16" s="13" t="s">
        <v>35</v>
      </c>
      <c r="C16" s="14" t="n">
        <f aca="false">$C7*(1-D$6)</f>
        <v>0</v>
      </c>
    </row>
    <row r="17" customFormat="false" ht="15" hidden="false" customHeight="false" outlineLevel="0" collapsed="false">
      <c r="B17" s="15" t="s">
        <v>36</v>
      </c>
      <c r="C17" s="16" t="s">
        <v>37</v>
      </c>
      <c r="D17" s="16"/>
      <c r="E17" s="16"/>
      <c r="F17" s="16"/>
      <c r="G17" s="16"/>
      <c r="H17" s="16"/>
    </row>
    <row r="18" customFormat="false" ht="15" hidden="false" customHeight="false" outlineLevel="0" collapsed="false">
      <c r="B18" s="15" t="s">
        <v>38</v>
      </c>
      <c r="C18" s="16" t="s">
        <v>39</v>
      </c>
      <c r="D18" s="16"/>
      <c r="E18" s="16"/>
      <c r="F18" s="16"/>
      <c r="G18" s="16"/>
      <c r="H18" s="16"/>
    </row>
  </sheetData>
  <mergeCells count="5">
    <mergeCell ref="A1:J2"/>
    <mergeCell ref="A3:J3"/>
    <mergeCell ref="B6:G6"/>
    <mergeCell ref="C17:H17"/>
    <mergeCell ref="C18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D32"/>
    <pageSetUpPr fitToPage="false"/>
  </sheetPr>
  <dimension ref="A1:J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34"/>
    <col collapsed="false" customWidth="true" hidden="false" outlineLevel="0" max="6" min="6" style="0" width="50"/>
    <col collapsed="false" customWidth="true" hidden="false" outlineLevel="0" max="7" min="7" style="0" width="42"/>
    <col collapsed="false" customWidth="true" hidden="false" outlineLevel="0" max="10" min="8" style="0" width="16"/>
  </cols>
  <sheetData>
    <row r="1" customFormat="false" ht="27.75" hidden="false" customHeight="true" outlineLevel="0" collapsed="false">
      <c r="A1" s="1" t="s">
        <v>40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21.75" hidden="false" customHeight="true" outlineLevel="0" collapsed="false">
      <c r="A3" s="2" t="s">
        <v>41</v>
      </c>
      <c r="B3" s="2"/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B5" s="9" t="s">
        <v>42</v>
      </c>
      <c r="C5" s="9" t="s">
        <v>43</v>
      </c>
      <c r="D5" s="9" t="s">
        <v>44</v>
      </c>
      <c r="E5" s="9" t="s">
        <v>45</v>
      </c>
      <c r="F5" s="9" t="s">
        <v>46</v>
      </c>
      <c r="G5" s="9" t="s">
        <v>47</v>
      </c>
    </row>
    <row r="6" customFormat="false" ht="15" hidden="false" customHeight="false" outlineLevel="0" collapsed="false">
      <c r="B6" s="10" t="s">
        <v>48</v>
      </c>
      <c r="C6" s="10" t="n">
        <v>92</v>
      </c>
      <c r="D6" s="10" t="str">
        <f aca="false">IF(C6&gt;=70,"Pass","Fail")</f>
        <v>Pass</v>
      </c>
      <c r="E6" s="17" t="str">
        <f aca="false">IF(C6&gt;=70,"Pass","Fail")</f>
        <v>Pass</v>
      </c>
      <c r="F6" s="10" t="e">
        <f aca="false">ifs(C6&gt;=90,"Excellent",C6&gt;=70,"Pass",C6&gt;=50,"Needs Work",TRUE(),"Fail")</f>
        <v>#NAME?</v>
      </c>
      <c r="G6" s="17" t="e">
        <f aca="false">ifs(C6&gt;=90,"Excellent",C6&gt;=70,"Pass",C6&gt;=50,"Needs Work",TRUE(),"Fail")</f>
        <v>#NAME?</v>
      </c>
    </row>
    <row r="7" customFormat="false" ht="15" hidden="false" customHeight="false" outlineLevel="0" collapsed="false">
      <c r="B7" s="10" t="s">
        <v>49</v>
      </c>
      <c r="C7" s="10" t="n">
        <v>65</v>
      </c>
      <c r="D7" s="10" t="str">
        <f aca="false">IF(C7&gt;=70,"Pass","Fail")</f>
        <v>Fail</v>
      </c>
      <c r="E7" s="17" t="str">
        <f aca="false">IF(C7&gt;=70,"Pass","Fail")</f>
        <v>Fail</v>
      </c>
      <c r="F7" s="10" t="e">
        <f aca="false">ifs(C7&gt;=90,"Excellent",C7&gt;=70,"Pass",C7&gt;=50,"Needs Work",TRUE(),"Fail")</f>
        <v>#NAME?</v>
      </c>
      <c r="G7" s="17" t="e">
        <f aca="false">ifs(C7&gt;=90,"Excellent",C7&gt;=70,"Pass",C7&gt;=50,"Needs Work",TRUE(),"Fail")</f>
        <v>#NAME?</v>
      </c>
    </row>
    <row r="8" customFormat="false" ht="15" hidden="false" customHeight="false" outlineLevel="0" collapsed="false">
      <c r="B8" s="10" t="s">
        <v>50</v>
      </c>
      <c r="C8" s="10" t="n">
        <v>78</v>
      </c>
      <c r="D8" s="10" t="str">
        <f aca="false">IF(C8&gt;=70,"Pass","Fail")</f>
        <v>Pass</v>
      </c>
      <c r="E8" s="17" t="str">
        <f aca="false">IF(C8&gt;=70,"Pass","Fail")</f>
        <v>Pass</v>
      </c>
      <c r="F8" s="10" t="e">
        <f aca="false">ifs(C8&gt;=90,"Excellent",C8&gt;=70,"Pass",C8&gt;=50,"Needs Work",TRUE(),"Fail")</f>
        <v>#NAME?</v>
      </c>
      <c r="G8" s="17" t="e">
        <f aca="false">ifs(C8&gt;=90,"Excellent",C8&gt;=70,"Pass",C8&gt;=50,"Needs Work",TRUE(),"Fail")</f>
        <v>#NAME?</v>
      </c>
    </row>
    <row r="9" customFormat="false" ht="15" hidden="false" customHeight="false" outlineLevel="0" collapsed="false">
      <c r="B9" s="10" t="s">
        <v>51</v>
      </c>
      <c r="C9" s="10" t="n">
        <v>45</v>
      </c>
      <c r="D9" s="10" t="str">
        <f aca="false">IF(C9&gt;=70,"Pass","Fail")</f>
        <v>Fail</v>
      </c>
      <c r="E9" s="17" t="str">
        <f aca="false">IF(C9&gt;=70,"Pass","Fail")</f>
        <v>Fail</v>
      </c>
      <c r="F9" s="10" t="e">
        <f aca="false">ifs(C9&gt;=90,"Excellent",C9&gt;=70,"Pass",C9&gt;=50,"Needs Work",TRUE(),"Fail")</f>
        <v>#NAME?</v>
      </c>
      <c r="G9" s="17" t="e">
        <f aca="false">ifs(C9&gt;=90,"Excellent",C9&gt;=70,"Pass",C9&gt;=50,"Needs Work",TRUE(),"Fail")</f>
        <v>#NAME?</v>
      </c>
    </row>
    <row r="10" customFormat="false" ht="15" hidden="false" customHeight="false" outlineLevel="0" collapsed="false">
      <c r="B10" s="10" t="s">
        <v>52</v>
      </c>
      <c r="C10" s="10" t="n">
        <v>88</v>
      </c>
      <c r="D10" s="10" t="str">
        <f aca="false">IF(C10&gt;=70,"Pass","Fail")</f>
        <v>Pass</v>
      </c>
      <c r="E10" s="17" t="str">
        <f aca="false">IF(C10&gt;=70,"Pass","Fail")</f>
        <v>Pass</v>
      </c>
      <c r="F10" s="10" t="e">
        <f aca="false">ifs(C10&gt;=90,"Excellent",C10&gt;=70,"Pass",C10&gt;=50,"Needs Work",TRUE(),"Fail")</f>
        <v>#NAME?</v>
      </c>
      <c r="G10" s="17" t="e">
        <f aca="false">ifs(C10&gt;=90,"Excellent",C10&gt;=70,"Pass",C10&gt;=50,"Needs Work",TRUE(),"Fail")</f>
        <v>#NAME?</v>
      </c>
    </row>
    <row r="11" customFormat="false" ht="15" hidden="false" customHeight="false" outlineLevel="0" collapsed="false">
      <c r="B11" s="10" t="s">
        <v>53</v>
      </c>
      <c r="C11" s="10" t="n">
        <v>55</v>
      </c>
      <c r="D11" s="10" t="str">
        <f aca="false">IF(C11&gt;=70,"Pass","Fail")</f>
        <v>Fail</v>
      </c>
      <c r="E11" s="17" t="str">
        <f aca="false">IF(C11&gt;=70,"Pass","Fail")</f>
        <v>Fail</v>
      </c>
      <c r="F11" s="10" t="e">
        <f aca="false">ifs(C11&gt;=90,"Excellent",C11&gt;=70,"Pass",C11&gt;=50,"Needs Work",TRUE(),"Fail")</f>
        <v>#NAME?</v>
      </c>
      <c r="G11" s="17" t="e">
        <f aca="false">ifs(C11&gt;=90,"Excellent",C11&gt;=70,"Pass",C11&gt;=50,"Needs Work",TRUE(),"Fail")</f>
        <v>#NAME?</v>
      </c>
    </row>
    <row r="14" customFormat="false" ht="16.15" hidden="false" customHeight="false" outlineLevel="0" collapsed="false">
      <c r="B14" s="5" t="s">
        <v>54</v>
      </c>
    </row>
    <row r="15" customFormat="false" ht="15" hidden="false" customHeight="false" outlineLevel="0" collapsed="false">
      <c r="B15" s="9" t="s">
        <v>55</v>
      </c>
      <c r="C15" s="9" t="s">
        <v>56</v>
      </c>
      <c r="D15" s="9" t="s">
        <v>57</v>
      </c>
      <c r="E15" s="9" t="s">
        <v>58</v>
      </c>
      <c r="F15" s="9" t="s">
        <v>45</v>
      </c>
    </row>
    <row r="16" customFormat="false" ht="15" hidden="false" customHeight="false" outlineLevel="0" collapsed="false">
      <c r="B16" s="10" t="s">
        <v>48</v>
      </c>
      <c r="C16" s="11" t="n">
        <v>15000</v>
      </c>
      <c r="D16" s="10" t="s">
        <v>56</v>
      </c>
      <c r="E16" s="10" t="str">
        <f aca="false">IF(AND(C16&gt;10000,D16="Sales"),"Bonus","Standard")</f>
        <v>Bonus</v>
      </c>
      <c r="F16" s="17" t="str">
        <f aca="false">IF(AND(C16&gt;10000,D16="Sales"),"Bonus","Standard")</f>
        <v>Bonus</v>
      </c>
    </row>
    <row r="17" customFormat="false" ht="15" hidden="false" customHeight="false" outlineLevel="0" collapsed="false">
      <c r="B17" s="10" t="s">
        <v>49</v>
      </c>
      <c r="C17" s="11" t="n">
        <v>8000</v>
      </c>
      <c r="D17" s="10" t="s">
        <v>56</v>
      </c>
      <c r="E17" s="10" t="str">
        <f aca="false">IF(AND(C17&gt;10000,D17="Sales"),"Bonus","Standard")</f>
        <v>Standard</v>
      </c>
      <c r="F17" s="17" t="str">
        <f aca="false">IF(AND(C17&gt;10000,D17="Sales"),"Bonus","Standard")</f>
        <v>Standard</v>
      </c>
    </row>
    <row r="18" customFormat="false" ht="15" hidden="false" customHeight="false" outlineLevel="0" collapsed="false">
      <c r="B18" s="10" t="s">
        <v>50</v>
      </c>
      <c r="C18" s="11" t="n">
        <v>22000</v>
      </c>
      <c r="D18" s="10" t="s">
        <v>59</v>
      </c>
      <c r="E18" s="10" t="str">
        <f aca="false">IF(AND(C18&gt;10000,D18="Sales"),"Bonus","Standard")</f>
        <v>Standard</v>
      </c>
      <c r="F18" s="17" t="str">
        <f aca="false">IF(AND(C18&gt;10000,D18="Sales"),"Bonus","Standard")</f>
        <v>Standard</v>
      </c>
    </row>
    <row r="19" customFormat="false" ht="15" hidden="false" customHeight="false" outlineLevel="0" collapsed="false">
      <c r="B19" s="10" t="s">
        <v>51</v>
      </c>
      <c r="C19" s="11" t="n">
        <v>5000</v>
      </c>
      <c r="D19" s="10" t="s">
        <v>60</v>
      </c>
      <c r="E19" s="10" t="str">
        <f aca="false">IF(AND(C19&gt;10000,D19="Sales"),"Bonus","Standard")</f>
        <v>Standard</v>
      </c>
      <c r="F19" s="17" t="str">
        <f aca="false">IF(AND(C19&gt;10000,D19="Sales"),"Bonus","Standard")</f>
        <v>Standard</v>
      </c>
    </row>
  </sheetData>
  <mergeCells count="2">
    <mergeCell ref="A1:J2"/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D32"/>
    <pageSetUpPr fitToPage="false"/>
  </sheetPr>
  <dimension ref="A1:J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3" min="3" style="0" width="52"/>
    <col collapsed="false" customWidth="true" hidden="false" outlineLevel="0" max="4" min="4" style="0" width="14"/>
    <col collapsed="false" customWidth="true" hidden="false" outlineLevel="0" max="10" min="5" style="0" width="16"/>
  </cols>
  <sheetData>
    <row r="1" customFormat="false" ht="27.75" hidden="false" customHeight="true" outlineLevel="0" collapsed="false">
      <c r="A1" s="1" t="s">
        <v>61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21.75" hidden="false" customHeight="true" outlineLevel="0" collapsed="false">
      <c r="A3" s="2" t="s">
        <v>62</v>
      </c>
      <c r="B3" s="2"/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B5" s="9" t="s">
        <v>63</v>
      </c>
      <c r="C5" s="9" t="s">
        <v>64</v>
      </c>
      <c r="D5" s="9" t="s">
        <v>24</v>
      </c>
      <c r="E5" s="9" t="s">
        <v>56</v>
      </c>
      <c r="F5" s="9" t="s">
        <v>65</v>
      </c>
    </row>
    <row r="6" customFormat="false" ht="15" hidden="false" customHeight="false" outlineLevel="0" collapsed="false">
      <c r="B6" s="10" t="s">
        <v>66</v>
      </c>
      <c r="C6" s="10" t="s">
        <v>67</v>
      </c>
      <c r="D6" s="10" t="s">
        <v>68</v>
      </c>
      <c r="E6" s="11" t="n">
        <v>45000</v>
      </c>
      <c r="F6" s="10" t="n">
        <v>30</v>
      </c>
    </row>
    <row r="7" customFormat="false" ht="15" hidden="false" customHeight="false" outlineLevel="0" collapsed="false">
      <c r="B7" s="10" t="s">
        <v>66</v>
      </c>
      <c r="C7" s="10" t="s">
        <v>69</v>
      </c>
      <c r="D7" s="10" t="s">
        <v>33</v>
      </c>
      <c r="E7" s="11" t="n">
        <v>4800</v>
      </c>
      <c r="F7" s="10" t="n">
        <v>160</v>
      </c>
    </row>
    <row r="8" customFormat="false" ht="15" hidden="false" customHeight="false" outlineLevel="0" collapsed="false">
      <c r="B8" s="10" t="s">
        <v>70</v>
      </c>
      <c r="C8" s="10" t="s">
        <v>67</v>
      </c>
      <c r="D8" s="10" t="s">
        <v>68</v>
      </c>
      <c r="E8" s="11" t="n">
        <v>38000</v>
      </c>
      <c r="F8" s="10" t="n">
        <v>25</v>
      </c>
    </row>
    <row r="9" customFormat="false" ht="15" hidden="false" customHeight="false" outlineLevel="0" collapsed="false">
      <c r="B9" s="10" t="s">
        <v>70</v>
      </c>
      <c r="C9" s="10" t="s">
        <v>69</v>
      </c>
      <c r="D9" s="10" t="s">
        <v>32</v>
      </c>
      <c r="E9" s="11" t="n">
        <v>7200</v>
      </c>
      <c r="F9" s="10" t="n">
        <v>120</v>
      </c>
    </row>
    <row r="10" customFormat="false" ht="15" hidden="false" customHeight="false" outlineLevel="0" collapsed="false">
      <c r="B10" s="10" t="s">
        <v>71</v>
      </c>
      <c r="C10" s="10" t="s">
        <v>67</v>
      </c>
      <c r="D10" s="10" t="s">
        <v>72</v>
      </c>
      <c r="E10" s="11" t="n">
        <v>28000</v>
      </c>
      <c r="F10" s="10" t="n">
        <v>70</v>
      </c>
    </row>
    <row r="11" customFormat="false" ht="15" hidden="false" customHeight="false" outlineLevel="0" collapsed="false">
      <c r="B11" s="10" t="s">
        <v>71</v>
      </c>
      <c r="C11" s="10" t="s">
        <v>69</v>
      </c>
      <c r="D11" s="10" t="s">
        <v>33</v>
      </c>
      <c r="E11" s="11" t="n">
        <v>3200</v>
      </c>
      <c r="F11" s="10" t="n">
        <v>100</v>
      </c>
    </row>
    <row r="12" customFormat="false" ht="15" hidden="false" customHeight="false" outlineLevel="0" collapsed="false">
      <c r="B12" s="10" t="s">
        <v>73</v>
      </c>
      <c r="C12" s="10" t="s">
        <v>67</v>
      </c>
      <c r="D12" s="10" t="s">
        <v>68</v>
      </c>
      <c r="E12" s="11" t="n">
        <v>52000</v>
      </c>
      <c r="F12" s="10" t="n">
        <v>35</v>
      </c>
    </row>
    <row r="13" customFormat="false" ht="15" hidden="false" customHeight="false" outlineLevel="0" collapsed="false">
      <c r="B13" s="10" t="s">
        <v>73</v>
      </c>
      <c r="C13" s="10" t="s">
        <v>69</v>
      </c>
      <c r="D13" s="10" t="s">
        <v>74</v>
      </c>
      <c r="E13" s="11" t="n">
        <v>6500</v>
      </c>
      <c r="F13" s="10" t="n">
        <v>130</v>
      </c>
    </row>
    <row r="14" customFormat="false" ht="15" hidden="false" customHeight="false" outlineLevel="0" collapsed="false">
      <c r="B14" s="10" t="s">
        <v>66</v>
      </c>
      <c r="C14" s="10" t="s">
        <v>67</v>
      </c>
      <c r="D14" s="10" t="s">
        <v>72</v>
      </c>
      <c r="E14" s="11" t="n">
        <v>31000</v>
      </c>
      <c r="F14" s="10" t="n">
        <v>78</v>
      </c>
    </row>
    <row r="15" customFormat="false" ht="15" hidden="false" customHeight="false" outlineLevel="0" collapsed="false">
      <c r="B15" s="10" t="s">
        <v>70</v>
      </c>
      <c r="C15" s="10" t="s">
        <v>67</v>
      </c>
      <c r="D15" s="10" t="s">
        <v>72</v>
      </c>
      <c r="E15" s="11" t="n">
        <v>25000</v>
      </c>
      <c r="F15" s="10" t="n">
        <v>62</v>
      </c>
    </row>
    <row r="16" customFormat="false" ht="15" hidden="false" customHeight="false" outlineLevel="0" collapsed="false">
      <c r="B16" s="10" t="s">
        <v>66</v>
      </c>
      <c r="C16" s="10" t="s">
        <v>69</v>
      </c>
      <c r="D16" s="10" t="s">
        <v>32</v>
      </c>
      <c r="E16" s="11" t="n">
        <v>5400</v>
      </c>
      <c r="F16" s="10" t="n">
        <v>90</v>
      </c>
    </row>
    <row r="17" customFormat="false" ht="15" hidden="false" customHeight="false" outlineLevel="0" collapsed="false">
      <c r="B17" s="10" t="s">
        <v>71</v>
      </c>
      <c r="C17" s="10" t="s">
        <v>69</v>
      </c>
      <c r="D17" s="10" t="s">
        <v>74</v>
      </c>
      <c r="E17" s="11" t="n">
        <v>4100</v>
      </c>
      <c r="F17" s="10" t="n">
        <v>82</v>
      </c>
    </row>
    <row r="19" customFormat="false" ht="16.15" hidden="false" customHeight="false" outlineLevel="0" collapsed="false">
      <c r="B19" s="5" t="s">
        <v>75</v>
      </c>
    </row>
    <row r="21" customFormat="false" ht="15" hidden="false" customHeight="false" outlineLevel="0" collapsed="false">
      <c r="B21" s="9" t="s">
        <v>76</v>
      </c>
      <c r="C21" s="9" t="s">
        <v>45</v>
      </c>
      <c r="D21" s="9" t="s">
        <v>77</v>
      </c>
    </row>
    <row r="22" customFormat="false" ht="15" hidden="false" customHeight="false" outlineLevel="0" collapsed="false">
      <c r="B22" s="10" t="s">
        <v>78</v>
      </c>
      <c r="C22" s="17" t="n">
        <f aca="false">SUMIF(B6:B17,"Norte",E6:E17)</f>
        <v>86200</v>
      </c>
      <c r="D22" s="18" t="n">
        <f aca="false">SUMIF(B6:B17,"Norte",E6:E17)</f>
        <v>86200</v>
      </c>
    </row>
    <row r="23" customFormat="false" ht="15" hidden="false" customHeight="false" outlineLevel="0" collapsed="false">
      <c r="B23" s="10" t="s">
        <v>79</v>
      </c>
      <c r="C23" s="17" t="n">
        <f aca="false">SUMIFS(E6:E17,B6:B17,"Norte",C6:C17,"Electronics")</f>
        <v>76000</v>
      </c>
      <c r="D23" s="18" t="n">
        <f aca="false">SUMIFS(E6:E17,B6:B17,"Norte",C6:C17,"Electronics")</f>
        <v>76000</v>
      </c>
    </row>
    <row r="24" customFormat="false" ht="15" hidden="false" customHeight="false" outlineLevel="0" collapsed="false">
      <c r="B24" s="10" t="s">
        <v>80</v>
      </c>
      <c r="C24" s="17" t="n">
        <f aca="false">COUNTIF(E6:E17,"&gt;10000")</f>
        <v>6</v>
      </c>
      <c r="D24" s="18" t="n">
        <f aca="false">COUNTIF(E6:E17,"&gt;10000")</f>
        <v>6</v>
      </c>
    </row>
    <row r="25" customFormat="false" ht="15" hidden="false" customHeight="false" outlineLevel="0" collapsed="false">
      <c r="B25" s="10" t="s">
        <v>81</v>
      </c>
      <c r="C25" s="17" t="n">
        <f aca="false">COUNTIFS(B6:B17,"Sur",C6:C17,"Electronics")</f>
        <v>2</v>
      </c>
      <c r="D25" s="18" t="n">
        <f aca="false">COUNTIFS(B6:B17,"Sur",C6:C17,"Electronics")</f>
        <v>2</v>
      </c>
    </row>
    <row r="26" customFormat="false" ht="15" hidden="false" customHeight="false" outlineLevel="0" collapsed="false">
      <c r="B26" s="10" t="s">
        <v>82</v>
      </c>
      <c r="C26" s="17" t="n">
        <f aca="false">AVERAGEIF(B6:B17,"Norte",E6:E17)</f>
        <v>21550</v>
      </c>
      <c r="D26" s="18" t="n">
        <f aca="false">AVERAGEIF(B6:B17,"Norte",E6:E17)</f>
        <v>21550</v>
      </c>
    </row>
    <row r="27" customFormat="false" ht="15" hidden="false" customHeight="false" outlineLevel="0" collapsed="false">
      <c r="B27" s="10" t="s">
        <v>83</v>
      </c>
      <c r="C27" s="17" t="n">
        <f aca="false">SUMIF(D6:D17,"Laptop",E6:E17)</f>
        <v>135000</v>
      </c>
      <c r="D27" s="18" t="n">
        <f aca="false">SUMIF(D6:D17,"Laptop",E6:E17)</f>
        <v>135000</v>
      </c>
    </row>
  </sheetData>
  <mergeCells count="2">
    <mergeCell ref="A1:J2"/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D32"/>
    <pageSetUpPr fitToPage="false"/>
  </sheetPr>
  <dimension ref="A1:J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36"/>
    <col collapsed="false" customWidth="true" hidden="false" outlineLevel="0" max="4" min="4" style="0" width="20"/>
    <col collapsed="false" customWidth="true" hidden="false" outlineLevel="0" max="5" min="5" style="0" width="40"/>
    <col collapsed="false" customWidth="true" hidden="false" outlineLevel="0" max="10" min="6" style="0" width="16"/>
  </cols>
  <sheetData>
    <row r="1" customFormat="false" ht="27.75" hidden="false" customHeight="true" outlineLevel="0" collapsed="false">
      <c r="A1" s="1" t="s">
        <v>84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21.75" hidden="false" customHeight="true" outlineLevel="0" collapsed="false">
      <c r="A3" s="2" t="s">
        <v>85</v>
      </c>
      <c r="B3" s="2"/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B5" s="9" t="s">
        <v>86</v>
      </c>
      <c r="C5" s="9" t="s">
        <v>45</v>
      </c>
      <c r="D5" s="9" t="s">
        <v>77</v>
      </c>
      <c r="E5" s="9" t="s">
        <v>87</v>
      </c>
    </row>
    <row r="6" customFormat="false" ht="15" hidden="false" customHeight="false" outlineLevel="0" collapsed="false">
      <c r="B6" s="10" t="s">
        <v>88</v>
      </c>
      <c r="C6" s="17" t="str">
        <f aca="false">LEFT(B6,3)</f>
        <v>INV</v>
      </c>
      <c r="D6" s="19" t="str">
        <f aca="false">LEFT(B6,3)</f>
        <v>INV</v>
      </c>
      <c r="E6" s="20" t="s">
        <v>89</v>
      </c>
    </row>
    <row r="7" customFormat="false" ht="15" hidden="false" customHeight="false" outlineLevel="0" collapsed="false">
      <c r="B7" s="10" t="s">
        <v>88</v>
      </c>
      <c r="C7" s="17" t="str">
        <f aca="false">RIGHT(B7,4)</f>
        <v>0034</v>
      </c>
      <c r="D7" s="19" t="str">
        <f aca="false">RIGHT(B7,4)</f>
        <v>0034</v>
      </c>
      <c r="E7" s="20" t="s">
        <v>90</v>
      </c>
    </row>
    <row r="8" customFormat="false" ht="15" hidden="false" customHeight="false" outlineLevel="0" collapsed="false">
      <c r="B8" s="10" t="s">
        <v>88</v>
      </c>
      <c r="C8" s="17" t="str">
        <f aca="false">MID(B8,5,4)</f>
        <v>2025</v>
      </c>
      <c r="D8" s="19" t="str">
        <f aca="false">MID(B8,5,4)</f>
        <v>2025</v>
      </c>
      <c r="E8" s="20" t="s">
        <v>91</v>
      </c>
    </row>
    <row r="9" customFormat="false" ht="15" hidden="false" customHeight="false" outlineLevel="0" collapsed="false">
      <c r="B9" s="10" t="s">
        <v>92</v>
      </c>
      <c r="C9" s="17" t="str">
        <f aca="false">TRIM(B9)</f>
        <v>Juan Perez</v>
      </c>
      <c r="D9" s="19" t="str">
        <f aca="false">TRIM(B9)</f>
        <v>Juan Perez</v>
      </c>
      <c r="E9" s="20" t="s">
        <v>93</v>
      </c>
    </row>
    <row r="10" customFormat="false" ht="15" hidden="false" customHeight="false" outlineLevel="0" collapsed="false">
      <c r="B10" s="10" t="s">
        <v>94</v>
      </c>
      <c r="C10" s="17" t="str">
        <f aca="false">PROPER(B10)</f>
        <v>Juan Perez</v>
      </c>
      <c r="D10" s="19" t="str">
        <f aca="false">PROPER(B10)</f>
        <v>Juan Perez</v>
      </c>
      <c r="E10" s="20" t="s">
        <v>95</v>
      </c>
    </row>
    <row r="11" customFormat="false" ht="15" hidden="false" customHeight="false" outlineLevel="0" collapsed="false">
      <c r="B11" s="10" t="s">
        <v>96</v>
      </c>
      <c r="C11" s="17" t="str">
        <f aca="false">LOWER(B11)</f>
        <v>excel course</v>
      </c>
      <c r="D11" s="19" t="str">
        <f aca="false">LOWER(B11)</f>
        <v>excel course</v>
      </c>
      <c r="E11" s="20" t="s">
        <v>97</v>
      </c>
    </row>
    <row r="12" customFormat="false" ht="15" hidden="false" customHeight="false" outlineLevel="0" collapsed="false">
      <c r="B12" s="10" t="s">
        <v>98</v>
      </c>
      <c r="C12" s="17" t="str">
        <f aca="false">LEFT(B12,FIND("@",B12)-1)</f>
        <v>user</v>
      </c>
      <c r="D12" s="19" t="str">
        <f aca="false">LEFT(B12,FIND("@",B12)-1)</f>
        <v>user</v>
      </c>
      <c r="E12" s="20" t="s">
        <v>99</v>
      </c>
    </row>
    <row r="15" customFormat="false" ht="16.15" hidden="false" customHeight="false" outlineLevel="0" collapsed="false">
      <c r="B15" s="5" t="s">
        <v>100</v>
      </c>
    </row>
    <row r="16" customFormat="false" ht="15" hidden="false" customHeight="false" outlineLevel="0" collapsed="false">
      <c r="B16" s="15" t="s">
        <v>101</v>
      </c>
      <c r="C16" s="15" t="s">
        <v>102</v>
      </c>
      <c r="D16" s="14" t="str">
        <f aca="false">B16&amp;" "&amp;C16</f>
        <v>Juan Perez</v>
      </c>
      <c r="E16" s="3" t="str">
        <f aca="false">B16&amp;" "&amp;C16</f>
        <v>Juan Perez</v>
      </c>
    </row>
    <row r="17" customFormat="false" ht="15" hidden="false" customHeight="false" outlineLevel="0" collapsed="false">
      <c r="B17" s="15" t="s">
        <v>103</v>
      </c>
      <c r="C17" s="21" t="str">
        <f aca="false">TEXT(B17,"DD-MMM-YYYY")</f>
        <v>45231 (numero)</v>
      </c>
      <c r="D17" s="21"/>
      <c r="E17" s="21"/>
    </row>
  </sheetData>
  <mergeCells count="3">
    <mergeCell ref="A1:J2"/>
    <mergeCell ref="A3:J3"/>
    <mergeCell ref="C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D32"/>
    <pageSetUpPr fitToPage="false"/>
  </sheetPr>
  <dimension ref="A1:J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4" min="4" style="0" width="18"/>
    <col collapsed="false" customWidth="true" hidden="false" outlineLevel="0" max="5" min="5" style="0" width="32"/>
    <col collapsed="false" customWidth="true" hidden="false" outlineLevel="0" max="10" min="6" style="0" width="16"/>
  </cols>
  <sheetData>
    <row r="1" customFormat="false" ht="27.75" hidden="false" customHeight="true" outlineLevel="0" collapsed="false">
      <c r="A1" s="1" t="s">
        <v>104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21.75" hidden="false" customHeight="true" outlineLevel="0" collapsed="false">
      <c r="A3" s="2" t="s">
        <v>105</v>
      </c>
      <c r="B3" s="2"/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B5" s="9" t="s">
        <v>76</v>
      </c>
      <c r="C5" s="9" t="s">
        <v>45</v>
      </c>
      <c r="D5" s="9" t="s">
        <v>77</v>
      </c>
      <c r="E5" s="9" t="s">
        <v>106</v>
      </c>
    </row>
    <row r="6" customFormat="false" ht="15" hidden="false" customHeight="false" outlineLevel="0" collapsed="false">
      <c r="B6" s="10" t="s">
        <v>107</v>
      </c>
      <c r="C6" s="22" t="n">
        <f aca="true">TODAY()</f>
        <v>46101</v>
      </c>
      <c r="D6" s="23" t="n">
        <f aca="true">TODAY()</f>
        <v>46101</v>
      </c>
      <c r="E6" s="20" t="s">
        <v>108</v>
      </c>
    </row>
    <row r="7" customFormat="false" ht="15" hidden="false" customHeight="false" outlineLevel="0" collapsed="false">
      <c r="B7" s="10" t="s">
        <v>109</v>
      </c>
      <c r="C7" s="17" t="n">
        <f aca="true">YEAR(TODAY())</f>
        <v>2026</v>
      </c>
      <c r="D7" s="19" t="n">
        <f aca="true">YEAR(TODAY())</f>
        <v>2026</v>
      </c>
      <c r="E7" s="20" t="s">
        <v>110</v>
      </c>
    </row>
    <row r="8" customFormat="false" ht="15" hidden="false" customHeight="false" outlineLevel="0" collapsed="false">
      <c r="B8" s="10" t="s">
        <v>111</v>
      </c>
      <c r="C8" s="17" t="n">
        <f aca="true">MONTH(TODAY())</f>
        <v>3</v>
      </c>
      <c r="D8" s="19" t="n">
        <f aca="true">MONTH(TODAY())</f>
        <v>3</v>
      </c>
      <c r="E8" s="20" t="s">
        <v>112</v>
      </c>
    </row>
    <row r="9" customFormat="false" ht="15" hidden="false" customHeight="false" outlineLevel="0" collapsed="false">
      <c r="B9" s="10" t="s">
        <v>113</v>
      </c>
      <c r="C9" s="17" t="n">
        <f aca="true">EOMONTH(TODAY(),0)</f>
        <v>46112</v>
      </c>
      <c r="D9" s="19" t="n">
        <f aca="true">EOMONTH(TODAY(),0)</f>
        <v>46112</v>
      </c>
      <c r="E9" s="20" t="s">
        <v>114</v>
      </c>
    </row>
    <row r="10" customFormat="false" ht="15" hidden="false" customHeight="false" outlineLevel="0" collapsed="false">
      <c r="B10" s="10" t="s">
        <v>115</v>
      </c>
      <c r="C10" s="17" t="n">
        <f aca="true">EDATE(TODAY(),-3)</f>
        <v>46011</v>
      </c>
      <c r="D10" s="19" t="n">
        <f aca="true">EDATE(TODAY(),-3)</f>
        <v>46011</v>
      </c>
      <c r="E10" s="20" t="s">
        <v>116</v>
      </c>
    </row>
    <row r="13" customFormat="false" ht="16.15" hidden="false" customHeight="false" outlineLevel="0" collapsed="false">
      <c r="B13" s="5" t="s">
        <v>117</v>
      </c>
    </row>
    <row r="14" customFormat="false" ht="15" hidden="false" customHeight="false" outlineLevel="0" collapsed="false">
      <c r="B14" s="9" t="s">
        <v>55</v>
      </c>
      <c r="C14" s="9" t="s">
        <v>118</v>
      </c>
      <c r="D14" s="9" t="s">
        <v>119</v>
      </c>
      <c r="E14" s="9" t="s">
        <v>120</v>
      </c>
      <c r="F14" s="9" t="s">
        <v>121</v>
      </c>
    </row>
    <row r="15" customFormat="false" ht="15" hidden="false" customHeight="false" outlineLevel="0" collapsed="false">
      <c r="B15" s="10" t="s">
        <v>122</v>
      </c>
      <c r="C15" s="10" t="s">
        <v>123</v>
      </c>
      <c r="D15" s="10" t="n">
        <f aca="true">DATEDIF(C15,TODAY(),"Y")</f>
        <v>6</v>
      </c>
      <c r="E15" s="10" t="n">
        <f aca="true">DATEDIF(C15,TODAY(),"M")</f>
        <v>72</v>
      </c>
      <c r="F15" s="11" t="n">
        <f aca="true">NETWORKDAYS(C15,TODAY())</f>
        <v>1570</v>
      </c>
    </row>
    <row r="16" customFormat="false" ht="15" hidden="false" customHeight="false" outlineLevel="0" collapsed="false">
      <c r="B16" s="10" t="s">
        <v>124</v>
      </c>
      <c r="C16" s="10" t="s">
        <v>125</v>
      </c>
      <c r="D16" s="10" t="n">
        <f aca="true">DATEDIF(C16,TODAY(),"Y")</f>
        <v>7</v>
      </c>
      <c r="E16" s="10" t="n">
        <f aca="true">DATEDIF(C16,TODAY(),"M")</f>
        <v>92</v>
      </c>
      <c r="F16" s="11" t="n">
        <f aca="true">NETWORKDAYS(C16,TODAY())</f>
        <v>2015</v>
      </c>
    </row>
    <row r="17" customFormat="false" ht="15" hidden="false" customHeight="false" outlineLevel="0" collapsed="false">
      <c r="B17" s="10" t="s">
        <v>126</v>
      </c>
      <c r="C17" s="10" t="s">
        <v>127</v>
      </c>
      <c r="D17" s="10" t="n">
        <f aca="true">DATEDIF(C17,TODAY(),"Y")</f>
        <v>4</v>
      </c>
      <c r="E17" s="10" t="n">
        <f aca="true">DATEDIF(C17,TODAY(),"M")</f>
        <v>50</v>
      </c>
      <c r="F17" s="11" t="n">
        <f aca="true">NETWORKDAYS(C17,TODAY())</f>
        <v>1095</v>
      </c>
    </row>
  </sheetData>
  <mergeCells count="2">
    <mergeCell ref="A1:J2"/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D32"/>
    <pageSetUpPr fitToPage="false"/>
  </sheetPr>
  <dimension ref="A1: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0" min="2" style="0" width="16"/>
  </cols>
  <sheetData>
    <row r="1" customFormat="false" ht="27.75" hidden="false" customHeight="true" outlineLevel="0" collapsed="false">
      <c r="A1" s="1" t="s">
        <v>128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21.75" hidden="false" customHeight="true" outlineLevel="0" collapsed="false">
      <c r="A3" s="2" t="s">
        <v>129</v>
      </c>
      <c r="B3" s="2"/>
      <c r="C3" s="2"/>
      <c r="D3" s="2"/>
      <c r="E3" s="2"/>
      <c r="F3" s="2"/>
      <c r="G3" s="2"/>
      <c r="H3" s="2"/>
      <c r="I3" s="2"/>
      <c r="J3" s="2"/>
    </row>
    <row r="5" customFormat="false" ht="16.15" hidden="false" customHeight="false" outlineLevel="0" collapsed="false">
      <c r="B5" s="5" t="s">
        <v>130</v>
      </c>
    </row>
    <row r="6" customFormat="false" ht="15" hidden="false" customHeight="false" outlineLevel="0" collapsed="false">
      <c r="B6" s="24" t="s">
        <v>131</v>
      </c>
      <c r="C6" s="24" t="s">
        <v>132</v>
      </c>
      <c r="D6" s="24" t="s">
        <v>133</v>
      </c>
      <c r="E6" s="24" t="s">
        <v>134</v>
      </c>
    </row>
    <row r="8" customFormat="false" ht="16.15" hidden="false" customHeight="false" outlineLevel="0" collapsed="false">
      <c r="B8" s="5" t="s">
        <v>135</v>
      </c>
    </row>
    <row r="9" customFormat="false" ht="15" hidden="false" customHeight="false" outlineLevel="0" collapsed="false">
      <c r="B9" s="9" t="s">
        <v>136</v>
      </c>
      <c r="C9" s="9" t="s">
        <v>137</v>
      </c>
      <c r="D9" s="9" t="s">
        <v>138</v>
      </c>
      <c r="E9" s="9" t="s">
        <v>139</v>
      </c>
    </row>
    <row r="10" customFormat="false" ht="15" hidden="false" customHeight="false" outlineLevel="0" collapsed="false">
      <c r="B10" s="10" t="s">
        <v>140</v>
      </c>
      <c r="C10" s="10" t="s">
        <v>48</v>
      </c>
      <c r="D10" s="10" t="s">
        <v>141</v>
      </c>
      <c r="E10" s="25"/>
    </row>
    <row r="11" customFormat="false" ht="15" hidden="false" customHeight="false" outlineLevel="0" collapsed="false">
      <c r="B11" s="10" t="s">
        <v>142</v>
      </c>
      <c r="C11" s="10" t="s">
        <v>143</v>
      </c>
      <c r="D11" s="10" t="s">
        <v>144</v>
      </c>
      <c r="E11" s="25"/>
    </row>
    <row r="12" customFormat="false" ht="15" hidden="false" customHeight="false" outlineLevel="0" collapsed="false">
      <c r="B12" s="10" t="s">
        <v>145</v>
      </c>
      <c r="C12" s="10" t="s">
        <v>146</v>
      </c>
      <c r="D12" s="10" t="s">
        <v>147</v>
      </c>
      <c r="E12" s="25"/>
    </row>
    <row r="13" customFormat="false" ht="15" hidden="false" customHeight="false" outlineLevel="0" collapsed="false">
      <c r="B13" s="10" t="s">
        <v>148</v>
      </c>
      <c r="C13" s="10" t="s">
        <v>101</v>
      </c>
      <c r="D13" s="10" t="s">
        <v>149</v>
      </c>
      <c r="E13" s="25"/>
    </row>
    <row r="15" customFormat="false" ht="15" hidden="false" customHeight="false" outlineLevel="0" collapsed="false">
      <c r="B15" s="26" t="s">
        <v>150</v>
      </c>
    </row>
  </sheetData>
  <mergeCells count="2">
    <mergeCell ref="A1:J2"/>
    <mergeCell ref="A3:J3"/>
  </mergeCells>
  <dataValidations count="1">
    <dataValidation allowBlank="true" error="Selecciona un estatus valido" errorStyle="stop" operator="between" prompt="Elige el estatus de la tarea" showDropDown="false" showErrorMessage="false" showInputMessage="false" sqref="E10:E13" type="list">
      <formula1>$B$6:$E$6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D32"/>
    <pageSetUpPr fitToPage="false"/>
  </sheetPr>
  <dimension ref="A1:J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50"/>
    <col collapsed="false" customWidth="true" hidden="false" outlineLevel="0" max="10" min="4" style="0" width="16"/>
  </cols>
  <sheetData>
    <row r="1" customFormat="false" ht="27.75" hidden="false" customHeight="true" outlineLevel="0" collapsed="false">
      <c r="A1" s="1" t="s">
        <v>151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21.75" hidden="false" customHeight="true" outlineLevel="0" collapsed="false">
      <c r="A3" s="2" t="s">
        <v>152</v>
      </c>
      <c r="B3" s="2"/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B5" s="27" t="s">
        <v>153</v>
      </c>
    </row>
    <row r="6" customFormat="false" ht="15" hidden="false" customHeight="false" outlineLevel="0" collapsed="false">
      <c r="B6" s="15" t="s">
        <v>154</v>
      </c>
      <c r="C6" s="14" t="n">
        <f aca="false">SUMIFS(D2:D5000, A2:A5000, "Norte", C2:C5000, "&gt;1000")</f>
        <v>0</v>
      </c>
    </row>
    <row r="8" customFormat="false" ht="15" hidden="false" customHeight="false" outlineLevel="0" collapsed="false">
      <c r="B8" s="28" t="s">
        <v>155</v>
      </c>
    </row>
    <row r="9" customFormat="false" ht="15" hidden="false" customHeight="false" outlineLevel="0" collapsed="false">
      <c r="B9" s="15" t="s">
        <v>154</v>
      </c>
      <c r="C9" s="29" t="e">
        <f aca="false">SUMIFS(sales, region, "Norte", amount, "&gt;1000")</f>
        <v>#NAME?</v>
      </c>
    </row>
    <row r="11" customFormat="false" ht="16.15" hidden="false" customHeight="false" outlineLevel="0" collapsed="false">
      <c r="B11" s="5" t="s">
        <v>156</v>
      </c>
    </row>
    <row r="12" customFormat="false" ht="15" hidden="false" customHeight="false" outlineLevel="0" collapsed="false">
      <c r="B12" s="15" t="s">
        <v>157</v>
      </c>
    </row>
    <row r="13" customFormat="false" ht="15" hidden="false" customHeight="false" outlineLevel="0" collapsed="false">
      <c r="B13" s="15" t="s">
        <v>158</v>
      </c>
    </row>
    <row r="14" customFormat="false" ht="15" hidden="false" customHeight="false" outlineLevel="0" collapsed="false">
      <c r="B14" s="15" t="s">
        <v>159</v>
      </c>
    </row>
    <row r="15" customFormat="false" ht="15" hidden="false" customHeight="false" outlineLevel="0" collapsed="false">
      <c r="B15" s="15" t="s">
        <v>160</v>
      </c>
    </row>
    <row r="16" customFormat="false" ht="15" hidden="false" customHeight="false" outlineLevel="0" collapsed="false">
      <c r="B16" s="15" t="s">
        <v>161</v>
      </c>
    </row>
  </sheetData>
  <mergeCells count="2">
    <mergeCell ref="A1:J2"/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D32"/>
    <pageSetUpPr fitToPage="false"/>
  </sheetPr>
  <dimension ref="A1:J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0" min="2" style="0" width="16"/>
  </cols>
  <sheetData>
    <row r="1" customFormat="false" ht="27.75" hidden="false" customHeight="true" outlineLevel="0" collapsed="false">
      <c r="A1" s="1" t="s">
        <v>162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21.75" hidden="false" customHeight="true" outlineLevel="0" collapsed="false">
      <c r="A3" s="2" t="s">
        <v>163</v>
      </c>
      <c r="B3" s="2"/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B5" s="6" t="s">
        <v>164</v>
      </c>
      <c r="C5" s="6"/>
      <c r="D5" s="6"/>
      <c r="E5" s="6"/>
      <c r="F5" s="6"/>
      <c r="G5" s="6"/>
      <c r="H5" s="6"/>
      <c r="I5" s="6"/>
    </row>
    <row r="7" customFormat="false" ht="15" hidden="false" customHeight="false" outlineLevel="0" collapsed="false">
      <c r="B7" s="9" t="s">
        <v>165</v>
      </c>
      <c r="C7" s="9" t="s">
        <v>63</v>
      </c>
      <c r="D7" s="9" t="s">
        <v>64</v>
      </c>
      <c r="E7" s="9" t="s">
        <v>24</v>
      </c>
      <c r="F7" s="9" t="s">
        <v>56</v>
      </c>
      <c r="G7" s="9" t="s">
        <v>65</v>
      </c>
      <c r="H7" s="9" t="s">
        <v>166</v>
      </c>
    </row>
    <row r="8" customFormat="false" ht="15" hidden="false" customHeight="false" outlineLevel="0" collapsed="false">
      <c r="B8" s="10" t="s">
        <v>167</v>
      </c>
      <c r="C8" s="10" t="s">
        <v>66</v>
      </c>
      <c r="D8" s="10" t="s">
        <v>67</v>
      </c>
      <c r="E8" s="10" t="s">
        <v>74</v>
      </c>
      <c r="F8" s="11" t="n">
        <v>10296</v>
      </c>
      <c r="G8" s="10" t="n">
        <v>16</v>
      </c>
      <c r="H8" s="10" t="s">
        <v>168</v>
      </c>
    </row>
    <row r="9" customFormat="false" ht="15" hidden="false" customHeight="false" outlineLevel="0" collapsed="false">
      <c r="B9" s="10" t="s">
        <v>169</v>
      </c>
      <c r="C9" s="10" t="s">
        <v>66</v>
      </c>
      <c r="D9" s="10" t="s">
        <v>69</v>
      </c>
      <c r="E9" s="10" t="s">
        <v>33</v>
      </c>
      <c r="F9" s="11" t="n">
        <v>17628</v>
      </c>
      <c r="G9" s="10" t="n">
        <v>45</v>
      </c>
      <c r="H9" s="10" t="s">
        <v>168</v>
      </c>
    </row>
    <row r="10" customFormat="false" ht="15" hidden="false" customHeight="false" outlineLevel="0" collapsed="false">
      <c r="B10" s="10" t="s">
        <v>170</v>
      </c>
      <c r="C10" s="10" t="s">
        <v>70</v>
      </c>
      <c r="D10" s="10" t="s">
        <v>67</v>
      </c>
      <c r="E10" s="10" t="s">
        <v>74</v>
      </c>
      <c r="F10" s="11" t="n">
        <v>51540</v>
      </c>
      <c r="G10" s="10" t="n">
        <v>149</v>
      </c>
      <c r="H10" s="10" t="s">
        <v>122</v>
      </c>
    </row>
    <row r="11" customFormat="false" ht="15" hidden="false" customHeight="false" outlineLevel="0" collapsed="false">
      <c r="B11" s="10" t="s">
        <v>171</v>
      </c>
      <c r="C11" s="10" t="s">
        <v>70</v>
      </c>
      <c r="D11" s="10" t="s">
        <v>69</v>
      </c>
      <c r="E11" s="10" t="s">
        <v>32</v>
      </c>
      <c r="F11" s="11" t="n">
        <v>5082</v>
      </c>
      <c r="G11" s="10" t="n">
        <v>17</v>
      </c>
      <c r="H11" s="10" t="s">
        <v>122</v>
      </c>
    </row>
    <row r="12" customFormat="false" ht="15" hidden="false" customHeight="false" outlineLevel="0" collapsed="false">
      <c r="B12" s="10" t="s">
        <v>172</v>
      </c>
      <c r="C12" s="10" t="s">
        <v>71</v>
      </c>
      <c r="D12" s="10" t="s">
        <v>67</v>
      </c>
      <c r="E12" s="10" t="s">
        <v>68</v>
      </c>
      <c r="F12" s="11" t="n">
        <v>36118</v>
      </c>
      <c r="G12" s="10" t="n">
        <v>164</v>
      </c>
      <c r="H12" s="10" t="s">
        <v>122</v>
      </c>
    </row>
    <row r="13" customFormat="false" ht="15" hidden="false" customHeight="false" outlineLevel="0" collapsed="false">
      <c r="B13" s="10" t="s">
        <v>172</v>
      </c>
      <c r="C13" s="10" t="s">
        <v>71</v>
      </c>
      <c r="D13" s="10" t="s">
        <v>69</v>
      </c>
      <c r="E13" s="10" t="s">
        <v>33</v>
      </c>
      <c r="F13" s="11" t="n">
        <v>49925</v>
      </c>
      <c r="G13" s="10" t="n">
        <v>176</v>
      </c>
      <c r="H13" s="10" t="s">
        <v>168</v>
      </c>
    </row>
    <row r="14" customFormat="false" ht="15" hidden="false" customHeight="false" outlineLevel="0" collapsed="false">
      <c r="B14" s="10" t="s">
        <v>167</v>
      </c>
      <c r="C14" s="10" t="s">
        <v>73</v>
      </c>
      <c r="D14" s="10" t="s">
        <v>67</v>
      </c>
      <c r="E14" s="10" t="s">
        <v>72</v>
      </c>
      <c r="F14" s="11" t="n">
        <v>17446</v>
      </c>
      <c r="G14" s="10" t="n">
        <v>124</v>
      </c>
      <c r="H14" s="10" t="s">
        <v>173</v>
      </c>
    </row>
    <row r="15" customFormat="false" ht="15" hidden="false" customHeight="false" outlineLevel="0" collapsed="false">
      <c r="B15" s="10" t="s">
        <v>174</v>
      </c>
      <c r="C15" s="10" t="s">
        <v>73</v>
      </c>
      <c r="D15" s="10" t="s">
        <v>69</v>
      </c>
      <c r="E15" s="10" t="s">
        <v>33</v>
      </c>
      <c r="F15" s="11" t="n">
        <v>52729</v>
      </c>
      <c r="G15" s="10" t="n">
        <v>50</v>
      </c>
      <c r="H15" s="10" t="s">
        <v>168</v>
      </c>
    </row>
    <row r="16" customFormat="false" ht="15" hidden="false" customHeight="false" outlineLevel="0" collapsed="false">
      <c r="B16" s="10" t="s">
        <v>175</v>
      </c>
      <c r="C16" s="10" t="s">
        <v>66</v>
      </c>
      <c r="D16" s="10" t="s">
        <v>67</v>
      </c>
      <c r="E16" s="10" t="s">
        <v>72</v>
      </c>
      <c r="F16" s="11" t="n">
        <v>21210</v>
      </c>
      <c r="G16" s="10" t="n">
        <v>49</v>
      </c>
      <c r="H16" s="10" t="s">
        <v>124</v>
      </c>
    </row>
    <row r="17" customFormat="false" ht="15" hidden="false" customHeight="false" outlineLevel="0" collapsed="false">
      <c r="B17" s="10" t="s">
        <v>176</v>
      </c>
      <c r="C17" s="10" t="s">
        <v>66</v>
      </c>
      <c r="D17" s="10" t="s">
        <v>69</v>
      </c>
      <c r="E17" s="10" t="s">
        <v>32</v>
      </c>
      <c r="F17" s="11" t="n">
        <v>9698</v>
      </c>
      <c r="G17" s="10" t="n">
        <v>33</v>
      </c>
      <c r="H17" s="10" t="s">
        <v>177</v>
      </c>
    </row>
    <row r="18" customFormat="false" ht="15" hidden="false" customHeight="false" outlineLevel="0" collapsed="false">
      <c r="B18" s="10" t="s">
        <v>178</v>
      </c>
      <c r="C18" s="10" t="s">
        <v>70</v>
      </c>
      <c r="D18" s="10" t="s">
        <v>67</v>
      </c>
      <c r="E18" s="10" t="s">
        <v>72</v>
      </c>
      <c r="F18" s="11" t="n">
        <v>25541</v>
      </c>
      <c r="G18" s="10" t="n">
        <v>164</v>
      </c>
      <c r="H18" s="10" t="s">
        <v>126</v>
      </c>
    </row>
    <row r="19" customFormat="false" ht="15" hidden="false" customHeight="false" outlineLevel="0" collapsed="false">
      <c r="B19" s="10" t="s">
        <v>176</v>
      </c>
      <c r="C19" s="10" t="s">
        <v>70</v>
      </c>
      <c r="D19" s="10" t="s">
        <v>69</v>
      </c>
      <c r="E19" s="10" t="s">
        <v>33</v>
      </c>
      <c r="F19" s="11" t="n">
        <v>50823</v>
      </c>
      <c r="G19" s="10" t="n">
        <v>127</v>
      </c>
      <c r="H19" s="10" t="s">
        <v>173</v>
      </c>
    </row>
    <row r="20" customFormat="false" ht="15" hidden="false" customHeight="false" outlineLevel="0" collapsed="false">
      <c r="B20" s="10" t="s">
        <v>179</v>
      </c>
      <c r="C20" s="10" t="s">
        <v>71</v>
      </c>
      <c r="D20" s="10" t="s">
        <v>67</v>
      </c>
      <c r="E20" s="10" t="s">
        <v>72</v>
      </c>
      <c r="F20" s="11" t="n">
        <v>8164</v>
      </c>
      <c r="G20" s="10" t="n">
        <v>151</v>
      </c>
      <c r="H20" s="10" t="s">
        <v>126</v>
      </c>
    </row>
    <row r="21" customFormat="false" ht="15" hidden="false" customHeight="false" outlineLevel="0" collapsed="false">
      <c r="B21" s="10" t="s">
        <v>180</v>
      </c>
      <c r="C21" s="10" t="s">
        <v>71</v>
      </c>
      <c r="D21" s="10" t="s">
        <v>69</v>
      </c>
      <c r="E21" s="10" t="s">
        <v>181</v>
      </c>
      <c r="F21" s="11" t="n">
        <v>43535</v>
      </c>
      <c r="G21" s="10" t="n">
        <v>102</v>
      </c>
      <c r="H21" s="10" t="s">
        <v>173</v>
      </c>
    </row>
    <row r="22" customFormat="false" ht="15" hidden="false" customHeight="false" outlineLevel="0" collapsed="false">
      <c r="B22" s="10" t="s">
        <v>182</v>
      </c>
      <c r="C22" s="10" t="s">
        <v>73</v>
      </c>
      <c r="D22" s="10" t="s">
        <v>67</v>
      </c>
      <c r="E22" s="10" t="s">
        <v>74</v>
      </c>
      <c r="F22" s="11" t="n">
        <v>7558</v>
      </c>
      <c r="G22" s="10" t="n">
        <v>21</v>
      </c>
      <c r="H22" s="10" t="s">
        <v>168</v>
      </c>
    </row>
    <row r="23" customFormat="false" ht="15" hidden="false" customHeight="false" outlineLevel="0" collapsed="false">
      <c r="B23" s="10" t="s">
        <v>183</v>
      </c>
      <c r="C23" s="10" t="s">
        <v>73</v>
      </c>
      <c r="D23" s="10" t="s">
        <v>69</v>
      </c>
      <c r="E23" s="10" t="s">
        <v>32</v>
      </c>
      <c r="F23" s="11" t="n">
        <v>8229</v>
      </c>
      <c r="G23" s="10" t="n">
        <v>69</v>
      </c>
      <c r="H23" s="10" t="s">
        <v>122</v>
      </c>
    </row>
    <row r="24" customFormat="false" ht="15" hidden="false" customHeight="false" outlineLevel="0" collapsed="false">
      <c r="B24" s="10" t="s">
        <v>184</v>
      </c>
      <c r="C24" s="10" t="s">
        <v>66</v>
      </c>
      <c r="D24" s="10" t="s">
        <v>67</v>
      </c>
      <c r="E24" s="10" t="s">
        <v>72</v>
      </c>
      <c r="F24" s="11" t="n">
        <v>32714</v>
      </c>
      <c r="G24" s="10" t="n">
        <v>172</v>
      </c>
      <c r="H24" s="10" t="s">
        <v>126</v>
      </c>
    </row>
    <row r="25" customFormat="false" ht="15" hidden="false" customHeight="false" outlineLevel="0" collapsed="false">
      <c r="B25" s="10" t="s">
        <v>185</v>
      </c>
      <c r="C25" s="10" t="s">
        <v>66</v>
      </c>
      <c r="D25" s="10" t="s">
        <v>69</v>
      </c>
      <c r="E25" s="10" t="s">
        <v>32</v>
      </c>
      <c r="F25" s="11" t="n">
        <v>26283</v>
      </c>
      <c r="G25" s="10" t="n">
        <v>63</v>
      </c>
      <c r="H25" s="10" t="s">
        <v>168</v>
      </c>
    </row>
    <row r="26" customFormat="false" ht="15" hidden="false" customHeight="false" outlineLevel="0" collapsed="false">
      <c r="B26" s="10" t="s">
        <v>186</v>
      </c>
      <c r="C26" s="10" t="s">
        <v>70</v>
      </c>
      <c r="D26" s="10" t="s">
        <v>67</v>
      </c>
      <c r="E26" s="10" t="s">
        <v>74</v>
      </c>
      <c r="F26" s="11" t="n">
        <v>47796</v>
      </c>
      <c r="G26" s="10" t="n">
        <v>175</v>
      </c>
      <c r="H26" s="10" t="s">
        <v>122</v>
      </c>
    </row>
    <row r="27" customFormat="false" ht="15" hidden="false" customHeight="false" outlineLevel="0" collapsed="false">
      <c r="B27" s="10" t="s">
        <v>187</v>
      </c>
      <c r="C27" s="10" t="s">
        <v>70</v>
      </c>
      <c r="D27" s="10" t="s">
        <v>69</v>
      </c>
      <c r="E27" s="10" t="s">
        <v>181</v>
      </c>
      <c r="F27" s="11" t="n">
        <v>14215</v>
      </c>
      <c r="G27" s="10" t="n">
        <v>146</v>
      </c>
      <c r="H27" s="10" t="s">
        <v>168</v>
      </c>
    </row>
    <row r="28" customFormat="false" ht="15" hidden="false" customHeight="false" outlineLevel="0" collapsed="false">
      <c r="B28" s="10" t="s">
        <v>188</v>
      </c>
      <c r="C28" s="10" t="s">
        <v>71</v>
      </c>
      <c r="D28" s="10" t="s">
        <v>67</v>
      </c>
      <c r="E28" s="10" t="s">
        <v>68</v>
      </c>
      <c r="F28" s="11" t="n">
        <v>33294</v>
      </c>
      <c r="G28" s="10" t="n">
        <v>107</v>
      </c>
      <c r="H28" s="10" t="s">
        <v>126</v>
      </c>
    </row>
    <row r="29" customFormat="false" ht="15" hidden="false" customHeight="false" outlineLevel="0" collapsed="false">
      <c r="B29" s="10" t="s">
        <v>189</v>
      </c>
      <c r="C29" s="10" t="s">
        <v>71</v>
      </c>
      <c r="D29" s="10" t="s">
        <v>69</v>
      </c>
      <c r="E29" s="10" t="s">
        <v>181</v>
      </c>
      <c r="F29" s="11" t="n">
        <v>39500</v>
      </c>
      <c r="G29" s="10" t="n">
        <v>66</v>
      </c>
      <c r="H29" s="10" t="s">
        <v>168</v>
      </c>
    </row>
    <row r="30" customFormat="false" ht="15" hidden="false" customHeight="false" outlineLevel="0" collapsed="false">
      <c r="B30" s="10" t="s">
        <v>190</v>
      </c>
      <c r="C30" s="10" t="s">
        <v>73</v>
      </c>
      <c r="D30" s="10" t="s">
        <v>67</v>
      </c>
      <c r="E30" s="10" t="s">
        <v>68</v>
      </c>
      <c r="F30" s="11" t="n">
        <v>18010</v>
      </c>
      <c r="G30" s="10" t="n">
        <v>18</v>
      </c>
      <c r="H30" s="10" t="s">
        <v>126</v>
      </c>
    </row>
    <row r="31" customFormat="false" ht="15" hidden="false" customHeight="false" outlineLevel="0" collapsed="false">
      <c r="B31" s="10" t="s">
        <v>191</v>
      </c>
      <c r="C31" s="10" t="s">
        <v>73</v>
      </c>
      <c r="D31" s="10" t="s">
        <v>69</v>
      </c>
      <c r="E31" s="10" t="s">
        <v>32</v>
      </c>
      <c r="F31" s="11" t="n">
        <v>7337</v>
      </c>
      <c r="G31" s="10" t="n">
        <v>64</v>
      </c>
      <c r="H31" s="10" t="s">
        <v>173</v>
      </c>
    </row>
    <row r="32" customFormat="false" ht="15" hidden="false" customHeight="false" outlineLevel="0" collapsed="false">
      <c r="B32" s="10" t="s">
        <v>192</v>
      </c>
      <c r="C32" s="10" t="s">
        <v>66</v>
      </c>
      <c r="D32" s="10" t="s">
        <v>67</v>
      </c>
      <c r="E32" s="10" t="s">
        <v>72</v>
      </c>
      <c r="F32" s="11" t="n">
        <v>16934</v>
      </c>
      <c r="G32" s="10" t="n">
        <v>177</v>
      </c>
      <c r="H32" s="10" t="s">
        <v>177</v>
      </c>
    </row>
    <row r="33" customFormat="false" ht="15" hidden="false" customHeight="false" outlineLevel="0" collapsed="false">
      <c r="B33" s="10" t="s">
        <v>193</v>
      </c>
      <c r="C33" s="10" t="s">
        <v>66</v>
      </c>
      <c r="D33" s="10" t="s">
        <v>69</v>
      </c>
      <c r="E33" s="10" t="s">
        <v>181</v>
      </c>
      <c r="F33" s="11" t="n">
        <v>33071</v>
      </c>
      <c r="G33" s="10" t="n">
        <v>46</v>
      </c>
      <c r="H33" s="10" t="s">
        <v>126</v>
      </c>
    </row>
    <row r="34" customFormat="false" ht="15" hidden="false" customHeight="false" outlineLevel="0" collapsed="false">
      <c r="B34" s="10" t="s">
        <v>194</v>
      </c>
      <c r="C34" s="10" t="s">
        <v>70</v>
      </c>
      <c r="D34" s="10" t="s">
        <v>67</v>
      </c>
      <c r="E34" s="10" t="s">
        <v>68</v>
      </c>
      <c r="F34" s="11" t="n">
        <v>51823</v>
      </c>
      <c r="G34" s="10" t="n">
        <v>153</v>
      </c>
      <c r="H34" s="10" t="s">
        <v>173</v>
      </c>
    </row>
    <row r="35" customFormat="false" ht="15" hidden="false" customHeight="false" outlineLevel="0" collapsed="false">
      <c r="B35" s="10" t="s">
        <v>192</v>
      </c>
      <c r="C35" s="10" t="s">
        <v>70</v>
      </c>
      <c r="D35" s="10" t="s">
        <v>69</v>
      </c>
      <c r="E35" s="10" t="s">
        <v>181</v>
      </c>
      <c r="F35" s="11" t="n">
        <v>41311</v>
      </c>
      <c r="G35" s="10" t="n">
        <v>119</v>
      </c>
      <c r="H35" s="10" t="s">
        <v>173</v>
      </c>
    </row>
    <row r="36" customFormat="false" ht="15" hidden="false" customHeight="false" outlineLevel="0" collapsed="false">
      <c r="B36" s="10" t="s">
        <v>195</v>
      </c>
      <c r="C36" s="10" t="s">
        <v>71</v>
      </c>
      <c r="D36" s="10" t="s">
        <v>67</v>
      </c>
      <c r="E36" s="10" t="s">
        <v>72</v>
      </c>
      <c r="F36" s="11" t="n">
        <v>17373</v>
      </c>
      <c r="G36" s="10" t="n">
        <v>45</v>
      </c>
      <c r="H36" s="10" t="s">
        <v>173</v>
      </c>
    </row>
    <row r="37" customFormat="false" ht="15" hidden="false" customHeight="false" outlineLevel="0" collapsed="false">
      <c r="B37" s="10" t="s">
        <v>193</v>
      </c>
      <c r="C37" s="10" t="s">
        <v>71</v>
      </c>
      <c r="D37" s="10" t="s">
        <v>69</v>
      </c>
      <c r="E37" s="10" t="s">
        <v>33</v>
      </c>
      <c r="F37" s="11" t="n">
        <v>52530</v>
      </c>
      <c r="G37" s="10" t="n">
        <v>22</v>
      </c>
      <c r="H37" s="10" t="s">
        <v>122</v>
      </c>
    </row>
    <row r="38" customFormat="false" ht="15" hidden="false" customHeight="false" outlineLevel="0" collapsed="false">
      <c r="B38" s="10" t="s">
        <v>144</v>
      </c>
      <c r="C38" s="10" t="s">
        <v>73</v>
      </c>
      <c r="D38" s="10" t="s">
        <v>67</v>
      </c>
      <c r="E38" s="10" t="s">
        <v>74</v>
      </c>
      <c r="F38" s="11" t="n">
        <v>13484</v>
      </c>
      <c r="G38" s="10" t="n">
        <v>184</v>
      </c>
      <c r="H38" s="10" t="s">
        <v>177</v>
      </c>
    </row>
    <row r="39" customFormat="false" ht="15" hidden="false" customHeight="false" outlineLevel="0" collapsed="false">
      <c r="B39" s="10" t="s">
        <v>141</v>
      </c>
      <c r="C39" s="10" t="s">
        <v>73</v>
      </c>
      <c r="D39" s="10" t="s">
        <v>69</v>
      </c>
      <c r="E39" s="10" t="s">
        <v>33</v>
      </c>
      <c r="F39" s="11" t="n">
        <v>28216</v>
      </c>
      <c r="G39" s="10" t="n">
        <v>107</v>
      </c>
      <c r="H39" s="10" t="s">
        <v>173</v>
      </c>
    </row>
    <row r="40" customFormat="false" ht="15" hidden="false" customHeight="false" outlineLevel="0" collapsed="false">
      <c r="B40" s="10" t="s">
        <v>196</v>
      </c>
      <c r="C40" s="10" t="s">
        <v>66</v>
      </c>
      <c r="D40" s="10" t="s">
        <v>67</v>
      </c>
      <c r="E40" s="10" t="s">
        <v>74</v>
      </c>
      <c r="F40" s="11" t="n">
        <v>19476</v>
      </c>
      <c r="G40" s="10" t="n">
        <v>151</v>
      </c>
      <c r="H40" s="10" t="s">
        <v>122</v>
      </c>
    </row>
    <row r="41" customFormat="false" ht="15" hidden="false" customHeight="false" outlineLevel="0" collapsed="false">
      <c r="B41" s="10" t="s">
        <v>197</v>
      </c>
      <c r="C41" s="10" t="s">
        <v>66</v>
      </c>
      <c r="D41" s="10" t="s">
        <v>69</v>
      </c>
      <c r="E41" s="10" t="s">
        <v>181</v>
      </c>
      <c r="F41" s="11" t="n">
        <v>10507</v>
      </c>
      <c r="G41" s="10" t="n">
        <v>184</v>
      </c>
      <c r="H41" s="10" t="s">
        <v>173</v>
      </c>
    </row>
    <row r="42" customFormat="false" ht="15" hidden="false" customHeight="false" outlineLevel="0" collapsed="false">
      <c r="B42" s="10" t="s">
        <v>198</v>
      </c>
      <c r="C42" s="10" t="s">
        <v>70</v>
      </c>
      <c r="D42" s="10" t="s">
        <v>67</v>
      </c>
      <c r="E42" s="10" t="s">
        <v>72</v>
      </c>
      <c r="F42" s="11" t="n">
        <v>53370</v>
      </c>
      <c r="G42" s="10" t="n">
        <v>174</v>
      </c>
      <c r="H42" s="10" t="s">
        <v>126</v>
      </c>
    </row>
    <row r="43" customFormat="false" ht="15" hidden="false" customHeight="false" outlineLevel="0" collapsed="false">
      <c r="B43" s="10" t="s">
        <v>149</v>
      </c>
      <c r="C43" s="10" t="s">
        <v>70</v>
      </c>
      <c r="D43" s="10" t="s">
        <v>69</v>
      </c>
      <c r="E43" s="10" t="s">
        <v>32</v>
      </c>
      <c r="F43" s="11" t="n">
        <v>31492</v>
      </c>
      <c r="G43" s="10" t="n">
        <v>50</v>
      </c>
      <c r="H43" s="10" t="s">
        <v>177</v>
      </c>
    </row>
    <row r="44" customFormat="false" ht="15" hidden="false" customHeight="false" outlineLevel="0" collapsed="false">
      <c r="B44" s="10" t="s">
        <v>197</v>
      </c>
      <c r="C44" s="10" t="s">
        <v>71</v>
      </c>
      <c r="D44" s="10" t="s">
        <v>67</v>
      </c>
      <c r="E44" s="10" t="s">
        <v>74</v>
      </c>
      <c r="F44" s="11" t="n">
        <v>50164</v>
      </c>
      <c r="G44" s="10" t="n">
        <v>77</v>
      </c>
      <c r="H44" s="10" t="s">
        <v>173</v>
      </c>
    </row>
    <row r="45" customFormat="false" ht="15" hidden="false" customHeight="false" outlineLevel="0" collapsed="false">
      <c r="B45" s="10" t="s">
        <v>199</v>
      </c>
      <c r="C45" s="10" t="s">
        <v>71</v>
      </c>
      <c r="D45" s="10" t="s">
        <v>69</v>
      </c>
      <c r="E45" s="10" t="s">
        <v>33</v>
      </c>
      <c r="F45" s="11" t="n">
        <v>36271</v>
      </c>
      <c r="G45" s="10" t="n">
        <v>37</v>
      </c>
      <c r="H45" s="10" t="s">
        <v>168</v>
      </c>
    </row>
    <row r="46" customFormat="false" ht="15" hidden="false" customHeight="false" outlineLevel="0" collapsed="false">
      <c r="B46" s="10" t="s">
        <v>200</v>
      </c>
      <c r="C46" s="10" t="s">
        <v>73</v>
      </c>
      <c r="D46" s="10" t="s">
        <v>67</v>
      </c>
      <c r="E46" s="10" t="s">
        <v>74</v>
      </c>
      <c r="F46" s="11" t="n">
        <v>36270</v>
      </c>
      <c r="G46" s="10" t="n">
        <v>165</v>
      </c>
      <c r="H46" s="10" t="s">
        <v>124</v>
      </c>
    </row>
    <row r="47" customFormat="false" ht="15" hidden="false" customHeight="false" outlineLevel="0" collapsed="false">
      <c r="B47" s="10" t="s">
        <v>197</v>
      </c>
      <c r="C47" s="10" t="s">
        <v>73</v>
      </c>
      <c r="D47" s="10" t="s">
        <v>69</v>
      </c>
      <c r="E47" s="10" t="s">
        <v>32</v>
      </c>
      <c r="F47" s="11" t="n">
        <v>52971</v>
      </c>
      <c r="G47" s="10" t="n">
        <v>51</v>
      </c>
      <c r="H47" s="10" t="s">
        <v>173</v>
      </c>
    </row>
    <row r="48" customFormat="false" ht="15" hidden="false" customHeight="false" outlineLevel="0" collapsed="false">
      <c r="B48" s="10" t="s">
        <v>201</v>
      </c>
      <c r="C48" s="10" t="s">
        <v>66</v>
      </c>
      <c r="D48" s="10" t="s">
        <v>67</v>
      </c>
      <c r="E48" s="10" t="s">
        <v>74</v>
      </c>
      <c r="F48" s="11" t="n">
        <v>3037</v>
      </c>
      <c r="G48" s="10" t="n">
        <v>163</v>
      </c>
      <c r="H48" s="10" t="s">
        <v>126</v>
      </c>
    </row>
    <row r="49" customFormat="false" ht="15" hidden="false" customHeight="false" outlineLevel="0" collapsed="false">
      <c r="B49" s="10" t="s">
        <v>202</v>
      </c>
      <c r="C49" s="10" t="s">
        <v>66</v>
      </c>
      <c r="D49" s="10" t="s">
        <v>69</v>
      </c>
      <c r="E49" s="10" t="s">
        <v>33</v>
      </c>
      <c r="F49" s="11" t="n">
        <v>10331</v>
      </c>
      <c r="G49" s="10" t="n">
        <v>102</v>
      </c>
      <c r="H49" s="10" t="s">
        <v>126</v>
      </c>
    </row>
    <row r="50" customFormat="false" ht="15" hidden="false" customHeight="false" outlineLevel="0" collapsed="false">
      <c r="B50" s="10" t="s">
        <v>203</v>
      </c>
      <c r="C50" s="10" t="s">
        <v>70</v>
      </c>
      <c r="D50" s="10" t="s">
        <v>67</v>
      </c>
      <c r="E50" s="10" t="s">
        <v>68</v>
      </c>
      <c r="F50" s="11" t="n">
        <v>18785</v>
      </c>
      <c r="G50" s="10" t="n">
        <v>155</v>
      </c>
      <c r="H50" s="10" t="s">
        <v>122</v>
      </c>
    </row>
    <row r="51" customFormat="false" ht="15" hidden="false" customHeight="false" outlineLevel="0" collapsed="false">
      <c r="B51" s="10" t="s">
        <v>204</v>
      </c>
      <c r="C51" s="10" t="s">
        <v>70</v>
      </c>
      <c r="D51" s="10" t="s">
        <v>69</v>
      </c>
      <c r="E51" s="10" t="s">
        <v>181</v>
      </c>
      <c r="F51" s="11" t="n">
        <v>34849</v>
      </c>
      <c r="G51" s="10" t="n">
        <v>27</v>
      </c>
      <c r="H51" s="10" t="s">
        <v>173</v>
      </c>
    </row>
    <row r="52" customFormat="false" ht="15" hidden="false" customHeight="false" outlineLevel="0" collapsed="false">
      <c r="B52" s="10" t="s">
        <v>205</v>
      </c>
      <c r="C52" s="10" t="s">
        <v>71</v>
      </c>
      <c r="D52" s="10" t="s">
        <v>67</v>
      </c>
      <c r="E52" s="10" t="s">
        <v>68</v>
      </c>
      <c r="F52" s="11" t="n">
        <v>11414</v>
      </c>
      <c r="G52" s="10" t="n">
        <v>178</v>
      </c>
      <c r="H52" s="10" t="s">
        <v>177</v>
      </c>
    </row>
    <row r="53" customFormat="false" ht="15" hidden="false" customHeight="false" outlineLevel="0" collapsed="false">
      <c r="B53" s="10" t="s">
        <v>206</v>
      </c>
      <c r="C53" s="10" t="s">
        <v>71</v>
      </c>
      <c r="D53" s="10" t="s">
        <v>69</v>
      </c>
      <c r="E53" s="10" t="s">
        <v>33</v>
      </c>
      <c r="F53" s="11" t="n">
        <v>20370</v>
      </c>
      <c r="G53" s="10" t="n">
        <v>145</v>
      </c>
      <c r="H53" s="10" t="s">
        <v>173</v>
      </c>
    </row>
    <row r="54" customFormat="false" ht="15" hidden="false" customHeight="false" outlineLevel="0" collapsed="false">
      <c r="B54" s="10" t="s">
        <v>207</v>
      </c>
      <c r="C54" s="10" t="s">
        <v>73</v>
      </c>
      <c r="D54" s="10" t="s">
        <v>67</v>
      </c>
      <c r="E54" s="10" t="s">
        <v>68</v>
      </c>
      <c r="F54" s="11" t="n">
        <v>38343</v>
      </c>
      <c r="G54" s="10" t="n">
        <v>196</v>
      </c>
      <c r="H54" s="10" t="s">
        <v>168</v>
      </c>
    </row>
    <row r="55" customFormat="false" ht="15" hidden="false" customHeight="false" outlineLevel="0" collapsed="false">
      <c r="B55" s="10" t="s">
        <v>208</v>
      </c>
      <c r="C55" s="10" t="s">
        <v>73</v>
      </c>
      <c r="D55" s="10" t="s">
        <v>69</v>
      </c>
      <c r="E55" s="10" t="s">
        <v>181</v>
      </c>
      <c r="F55" s="11" t="n">
        <v>23428</v>
      </c>
      <c r="G55" s="10" t="n">
        <v>112</v>
      </c>
      <c r="H55" s="10" t="s">
        <v>168</v>
      </c>
    </row>
  </sheetData>
  <mergeCells count="3">
    <mergeCell ref="A1:J2"/>
    <mergeCell ref="A3:J3"/>
    <mergeCell ref="B5:I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D32"/>
    <pageSetUpPr fitToPage="false"/>
  </sheetPr>
  <dimension ref="A1:J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0" min="2" style="0" width="16"/>
  </cols>
  <sheetData>
    <row r="1" customFormat="false" ht="27.75" hidden="false" customHeight="true" outlineLevel="0" collapsed="false">
      <c r="A1" s="1" t="s">
        <v>209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21.75" hidden="false" customHeight="true" outlineLevel="0" collapsed="false">
      <c r="A3" s="2" t="s">
        <v>210</v>
      </c>
      <c r="B3" s="2"/>
      <c r="C3" s="2"/>
      <c r="D3" s="2"/>
      <c r="E3" s="2"/>
      <c r="F3" s="2"/>
      <c r="G3" s="2"/>
      <c r="H3" s="2"/>
      <c r="I3" s="2"/>
      <c r="J3" s="2"/>
    </row>
    <row r="5" customFormat="false" ht="16.15" hidden="false" customHeight="false" outlineLevel="0" collapsed="false">
      <c r="B5" s="5" t="s">
        <v>211</v>
      </c>
    </row>
    <row r="6" customFormat="false" ht="15" hidden="false" customHeight="false" outlineLevel="0" collapsed="false">
      <c r="B6" s="9" t="s">
        <v>212</v>
      </c>
      <c r="C6" s="9" t="s">
        <v>213</v>
      </c>
      <c r="D6" s="9" t="s">
        <v>214</v>
      </c>
      <c r="E6" s="9" t="s">
        <v>215</v>
      </c>
    </row>
    <row r="7" customFormat="false" ht="15" hidden="false" customHeight="false" outlineLevel="0" collapsed="false">
      <c r="B7" s="10" t="s">
        <v>216</v>
      </c>
      <c r="C7" s="11" t="n">
        <v>120000</v>
      </c>
      <c r="D7" s="10" t="n">
        <v>450</v>
      </c>
      <c r="E7" s="11" t="n">
        <v>267</v>
      </c>
    </row>
    <row r="8" customFormat="false" ht="15" hidden="false" customHeight="false" outlineLevel="0" collapsed="false">
      <c r="B8" s="10" t="s">
        <v>217</v>
      </c>
      <c r="C8" s="11" t="n">
        <v>135000</v>
      </c>
      <c r="D8" s="10" t="n">
        <v>520</v>
      </c>
      <c r="E8" s="11" t="n">
        <v>260</v>
      </c>
    </row>
    <row r="9" customFormat="false" ht="15" hidden="false" customHeight="false" outlineLevel="0" collapsed="false">
      <c r="B9" s="10" t="s">
        <v>218</v>
      </c>
      <c r="C9" s="11" t="n">
        <v>128000</v>
      </c>
      <c r="D9" s="10" t="n">
        <v>480</v>
      </c>
      <c r="E9" s="11" t="n">
        <v>267</v>
      </c>
    </row>
    <row r="10" customFormat="false" ht="15" hidden="false" customHeight="false" outlineLevel="0" collapsed="false">
      <c r="B10" s="10" t="s">
        <v>219</v>
      </c>
      <c r="C10" s="11" t="n">
        <v>155000</v>
      </c>
      <c r="D10" s="10" t="n">
        <v>580</v>
      </c>
      <c r="E10" s="11" t="n">
        <v>267</v>
      </c>
    </row>
    <row r="11" customFormat="false" ht="15" hidden="false" customHeight="false" outlineLevel="0" collapsed="false">
      <c r="B11" s="10" t="s">
        <v>220</v>
      </c>
      <c r="C11" s="11" t="n">
        <v>148000</v>
      </c>
      <c r="D11" s="10" t="n">
        <v>540</v>
      </c>
      <c r="E11" s="11" t="n">
        <v>274</v>
      </c>
    </row>
    <row r="12" customFormat="false" ht="15" hidden="false" customHeight="false" outlineLevel="0" collapsed="false">
      <c r="B12" s="10" t="s">
        <v>221</v>
      </c>
      <c r="C12" s="11" t="n">
        <v>172000</v>
      </c>
      <c r="D12" s="10" t="n">
        <v>620</v>
      </c>
      <c r="E12" s="11" t="n">
        <v>277</v>
      </c>
    </row>
    <row r="14" customFormat="false" ht="15" hidden="false" customHeight="true" outlineLevel="0" collapsed="false">
      <c r="B14" s="30" t="s">
        <v>222</v>
      </c>
      <c r="C14" s="30"/>
      <c r="D14" s="30"/>
      <c r="E14" s="30"/>
      <c r="F14" s="30"/>
      <c r="G14" s="30"/>
      <c r="H14" s="30"/>
      <c r="I14" s="30"/>
    </row>
    <row r="15" customFormat="false" ht="15" hidden="false" customHeight="true" outlineLevel="0" collapsed="false">
      <c r="B15" s="30" t="s">
        <v>223</v>
      </c>
      <c r="C15" s="30"/>
      <c r="D15" s="30"/>
      <c r="E15" s="30"/>
      <c r="F15" s="30"/>
      <c r="G15" s="30"/>
      <c r="H15" s="30"/>
      <c r="I15" s="30"/>
    </row>
    <row r="16" customFormat="false" ht="15" hidden="false" customHeight="true" outlineLevel="0" collapsed="false">
      <c r="B16" s="30" t="s">
        <v>224</v>
      </c>
      <c r="C16" s="30"/>
      <c r="D16" s="30"/>
      <c r="E16" s="30"/>
      <c r="F16" s="30"/>
      <c r="G16" s="30"/>
      <c r="H16" s="30"/>
      <c r="I16" s="30"/>
    </row>
    <row r="17" customFormat="false" ht="15" hidden="false" customHeight="true" outlineLevel="0" collapsed="false">
      <c r="B17" s="30" t="s">
        <v>225</v>
      </c>
      <c r="C17" s="30"/>
      <c r="D17" s="30"/>
      <c r="E17" s="30"/>
      <c r="F17" s="30"/>
      <c r="G17" s="30"/>
      <c r="H17" s="30"/>
      <c r="I17" s="30"/>
    </row>
    <row r="20" customFormat="false" ht="16.15" hidden="false" customHeight="false" outlineLevel="0" collapsed="false">
      <c r="B20" s="5" t="s">
        <v>226</v>
      </c>
    </row>
    <row r="21" customFormat="false" ht="15" hidden="false" customHeight="false" outlineLevel="0" collapsed="false">
      <c r="B21" s="9" t="s">
        <v>166</v>
      </c>
      <c r="C21" s="9" t="s">
        <v>216</v>
      </c>
      <c r="D21" s="9" t="s">
        <v>217</v>
      </c>
      <c r="E21" s="9" t="s">
        <v>218</v>
      </c>
      <c r="F21" s="9" t="s">
        <v>219</v>
      </c>
      <c r="G21" s="9" t="s">
        <v>220</v>
      </c>
      <c r="H21" s="9" t="s">
        <v>221</v>
      </c>
      <c r="I21" s="9" t="s">
        <v>227</v>
      </c>
    </row>
    <row r="22" customFormat="false" ht="15" hidden="false" customHeight="false" outlineLevel="0" collapsed="false">
      <c r="B22" s="10" t="s">
        <v>48</v>
      </c>
      <c r="C22" s="11" t="n">
        <v>15000</v>
      </c>
      <c r="D22" s="11" t="n">
        <v>18000</v>
      </c>
      <c r="E22" s="11" t="n">
        <v>16500</v>
      </c>
      <c r="F22" s="11" t="n">
        <v>21000</v>
      </c>
      <c r="G22" s="11" t="n">
        <v>19500</v>
      </c>
      <c r="H22" s="11" t="n">
        <v>24000</v>
      </c>
      <c r="I22" s="31" t="s">
        <v>228</v>
      </c>
    </row>
    <row r="23" customFormat="false" ht="15" hidden="false" customHeight="false" outlineLevel="0" collapsed="false">
      <c r="B23" s="10" t="s">
        <v>143</v>
      </c>
      <c r="C23" s="11" t="n">
        <v>12000</v>
      </c>
      <c r="D23" s="11" t="n">
        <v>11000</v>
      </c>
      <c r="E23" s="11" t="n">
        <v>14000</v>
      </c>
      <c r="F23" s="11" t="n">
        <v>13500</v>
      </c>
      <c r="G23" s="11" t="n">
        <v>15000</v>
      </c>
      <c r="H23" s="11" t="n">
        <v>16000</v>
      </c>
      <c r="I23" s="31" t="s">
        <v>228</v>
      </c>
    </row>
    <row r="24" customFormat="false" ht="15" hidden="false" customHeight="false" outlineLevel="0" collapsed="false">
      <c r="B24" s="10" t="s">
        <v>146</v>
      </c>
      <c r="C24" s="11" t="n">
        <v>22000</v>
      </c>
      <c r="D24" s="11" t="n">
        <v>25000</v>
      </c>
      <c r="E24" s="11" t="n">
        <v>23000</v>
      </c>
      <c r="F24" s="11" t="n">
        <v>28000</v>
      </c>
      <c r="G24" s="11" t="n">
        <v>26500</v>
      </c>
      <c r="H24" s="11" t="n">
        <v>31000</v>
      </c>
      <c r="I24" s="31" t="s">
        <v>228</v>
      </c>
    </row>
    <row r="25" customFormat="false" ht="15" hidden="false" customHeight="false" outlineLevel="0" collapsed="false">
      <c r="B25" s="10" t="s">
        <v>101</v>
      </c>
      <c r="C25" s="11" t="n">
        <v>8000</v>
      </c>
      <c r="D25" s="11" t="n">
        <v>9500</v>
      </c>
      <c r="E25" s="11" t="n">
        <v>8800</v>
      </c>
      <c r="F25" s="11" t="n">
        <v>11000</v>
      </c>
      <c r="G25" s="11" t="n">
        <v>10500</v>
      </c>
      <c r="H25" s="11" t="n">
        <v>12000</v>
      </c>
      <c r="I25" s="31" t="s">
        <v>228</v>
      </c>
    </row>
    <row r="27" customFormat="false" ht="15" hidden="false" customHeight="false" outlineLevel="0" collapsed="false">
      <c r="B27" s="6" t="s">
        <v>229</v>
      </c>
      <c r="C27" s="6"/>
      <c r="D27" s="6"/>
      <c r="E27" s="6"/>
      <c r="F27" s="6"/>
      <c r="G27" s="6"/>
      <c r="H27" s="6"/>
      <c r="I27" s="6"/>
    </row>
  </sheetData>
  <mergeCells count="7">
    <mergeCell ref="A1:J2"/>
    <mergeCell ref="A3:J3"/>
    <mergeCell ref="B14:I14"/>
    <mergeCell ref="B15:I15"/>
    <mergeCell ref="B16:I16"/>
    <mergeCell ref="B17:I17"/>
    <mergeCell ref="B27:I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2026-03-20T16:44:29Z</dcterms:created>
  <dc:creator>openpyxl</dc:creator>
  <dc:description/>
  <dc:language>en-US</dc:language>
  <cp:lastModifiedBy/>
  <dcterms:modified xsi:type="dcterms:W3CDTF">2026-03-20T16:44:29Z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