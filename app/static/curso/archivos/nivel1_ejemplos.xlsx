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Tipos de Datos" sheetId="2" state="visible" r:id="rId4"/>
    <sheet name="Formulas" sheetId="3" state="visible" r:id="rId5"/>
    <sheet name="References" sheetId="4" state="visible" r:id="rId6"/>
    <sheet name="Funciones" sheetId="5" state="visible" r:id="rId7"/>
    <sheet name="Cond Formatting" sheetId="6" state="visible" r:id="rId8"/>
    <sheet name="Sort Filter" sheetId="7" state="visible" r:id="rId9"/>
    <sheet name="Charts Dat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<sst xmlns="http://schemas.openxmlformats.org/spreadsheetml/2006/main" count="264" uniqueCount="173">
  <si>
    <t xml:space="preserve">Nivel 1 — Ejemplos</t>
  </si>
  <si>
    <t xml:space="preserve">  Workbook de referencia con ejemplos resueltos para cada modulo</t>
  </si>
  <si>
    <t xml:space="preserve">Tipos de Datos</t>
  </si>
  <si>
    <t xml:space="preserve">Mod 1: Tipos de datos, Number Formats, interpretacion</t>
  </si>
  <si>
    <t xml:space="preserve">Formulas</t>
  </si>
  <si>
    <t xml:space="preserve">Mod 2: Operadores, orden de operaciones, referencias</t>
  </si>
  <si>
    <t xml:space="preserve">References</t>
  </si>
  <si>
    <t xml:space="preserve">Mod 3: Relative References, Fill Handle, verificacion</t>
  </si>
  <si>
    <t xml:space="preserve">Funciones</t>
  </si>
  <si>
    <t xml:space="preserve">Mod 4: SUM, AVERAGE, COUNT, COUNTA, MAX, MIN en caso real</t>
  </si>
  <si>
    <t xml:space="preserve">Cond Formatting</t>
  </si>
  <si>
    <t xml:space="preserve">Mod 5: Highlight Rules, Top/Bottom, Data Bars, Color Scales</t>
  </si>
  <si>
    <t xml:space="preserve">Sort Filter</t>
  </si>
  <si>
    <t xml:space="preserve">Mod 6: Datos para practicar Sort y Filter</t>
  </si>
  <si>
    <t xml:space="preserve">Charts Data</t>
  </si>
  <si>
    <t xml:space="preserve">Mod 7: Datos y ejemplos de Column, Line y Pie Charts</t>
  </si>
  <si>
    <t xml:space="preserve">Tipos de datos y Number Formats</t>
  </si>
  <si>
    <t xml:space="preserve">  Modulo 1 — Como Excel interpreta y muestra diferentes tipos de datos</t>
  </si>
  <si>
    <t xml:space="preserve">Valor almacenado</t>
  </si>
  <si>
    <t xml:space="preserve">Con Number Format aplicado</t>
  </si>
  <si>
    <t xml:space="preserve">Escribes esto</t>
  </si>
  <si>
    <t xml:space="preserve">Excel almacena</t>
  </si>
  <si>
    <t xml:space="preserve">Tipo</t>
  </si>
  <si>
    <t xml:space="preserve">Formato aplicado</t>
  </si>
  <si>
    <t xml:space="preserve">Se muestra como</t>
  </si>
  <si>
    <t xml:space="preserve">123</t>
  </si>
  <si>
    <t xml:space="preserve">Number</t>
  </si>
  <si>
    <t xml:space="preserve">Number #,##0</t>
  </si>
  <si>
    <t xml:space="preserve">15.75</t>
  </si>
  <si>
    <t xml:space="preserve">Currency $#,##0.00</t>
  </si>
  <si>
    <t xml:space="preserve">$15.75</t>
  </si>
  <si>
    <t xml:space="preserve">0.15</t>
  </si>
  <si>
    <t xml:space="preserve">Percentage 0%</t>
  </si>
  <si>
    <t xml:space="preserve">15%</t>
  </si>
  <si>
    <t xml:space="preserve">001234</t>
  </si>
  <si>
    <t xml:space="preserve">1234</t>
  </si>
  <si>
    <t xml:space="preserve">Number (pierde ceros)</t>
  </si>
  <si>
    <t xml:space="preserve">Text</t>
  </si>
  <si>
    <t xml:space="preserve">3/4/2025</t>
  </si>
  <si>
    <t xml:space="preserve">Date</t>
  </si>
  <si>
    <t xml:space="preserve">DD-MMM-YYYY</t>
  </si>
  <si>
    <t xml:space="preserve">04-Mar-2025</t>
  </si>
  <si>
    <t xml:space="preserve">Hello</t>
  </si>
  <si>
    <t xml:space="preserve">General</t>
  </si>
  <si>
    <t xml:space="preserve">TRUE</t>
  </si>
  <si>
    <t xml:space="preserve">True</t>
  </si>
  <si>
    <t xml:space="preserve">Boolean</t>
  </si>
  <si>
    <t xml:space="preserve">Problemas comunes de interpretacion:</t>
  </si>
  <si>
    <t xml:space="preserve">001234 se convierte en 1234</t>
  </si>
  <si>
    <t xml:space="preserve">Formatear como Text antes de escribir, o usar apostrofo: '001234</t>
  </si>
  <si>
    <t xml:space="preserve">3/4 se convierte en fecha</t>
  </si>
  <si>
    <t xml:space="preserve">Escribir 0 3/4 para fraccion, o formatear como Text</t>
  </si>
  <si>
    <t xml:space="preserve">Numero con espacio se trata como texto</t>
  </si>
  <si>
    <t xml:space="preserve">Usar TRIM() para limpiar espacios invisibles</t>
  </si>
  <si>
    <t xml:space="preserve">15 con formato % muestra 1500%</t>
  </si>
  <si>
    <t xml:space="preserve">Escribir 0.15 y luego aplicar formato Percentage</t>
  </si>
  <si>
    <t xml:space="preserve">Formulas aritmeticas</t>
  </si>
  <si>
    <t xml:space="preserve">  Modulo 2 — Operadores, orden de operaciones y referencias</t>
  </si>
  <si>
    <t xml:space="preserve">Operadores basicos</t>
  </si>
  <si>
    <t xml:space="preserve">Formula</t>
  </si>
  <si>
    <t xml:space="preserve">Resultado</t>
  </si>
  <si>
    <t xml:space="preserve">Explicacion</t>
  </si>
  <si>
    <t xml:space="preserve">Suma</t>
  </si>
  <si>
    <t xml:space="preserve">Resta</t>
  </si>
  <si>
    <t xml:space="preserve">Multiplicacion</t>
  </si>
  <si>
    <t xml:space="preserve">Division</t>
  </si>
  <si>
    <t xml:space="preserve">Potencia (2 elevado a 3)</t>
  </si>
  <si>
    <t xml:space="preserve">15% de 50</t>
  </si>
  <si>
    <t xml:space="preserve">Orden de operaciones</t>
  </si>
  <si>
    <t xml:space="preserve">Por que</t>
  </si>
  <si>
    <t xml:space="preserve">Primero 3*4=12, luego 2+12=14</t>
  </si>
  <si>
    <t xml:space="preserve">Parentesis primero: 5*4=20</t>
  </si>
  <si>
    <t xml:space="preserve">Primero 3^2=9, luego 2+9=11</t>
  </si>
  <si>
    <t xml:space="preserve">Parentesis primero: 5^2=25</t>
  </si>
  <si>
    <t xml:space="preserve">Primero 10/2=5, luego 5+3=8</t>
  </si>
  <si>
    <t xml:space="preserve">Parentesis primero: 10/5=2</t>
  </si>
  <si>
    <t xml:space="preserve">Formulas con referencias</t>
  </si>
  <si>
    <t xml:space="preserve">Precio</t>
  </si>
  <si>
    <t xml:space="preserve">Cantidad</t>
  </si>
  <si>
    <t xml:space="preserve">Total</t>
  </si>
  <si>
    <t xml:space="preserve">Formula usada</t>
  </si>
  <si>
    <t xml:space="preserve">Cell References</t>
  </si>
  <si>
    <t xml:space="preserve">  Modulo 3 — Como las Relative References se ajustan al copiar</t>
  </si>
  <si>
    <t xml:space="preserve">Ejemplo de Relative Reference</t>
  </si>
  <si>
    <t xml:space="preserve">Observa como la formula se ajusta al copiarla hacia abajo.</t>
  </si>
  <si>
    <t xml:space="preserve">Formula en esta celda</t>
  </si>
  <si>
    <t xml:space="preserve">La formula en D9 es =B9*C9 (se escribio =B5*C5 en D5 y se copio hacia abajo con Fill Handle).</t>
  </si>
  <si>
    <t xml:space="preserve">Funciones esenciales — Caso real</t>
  </si>
  <si>
    <t xml:space="preserve">  Modulo 4 — SUM, AVERAGE, COUNT, COUNTA, MAX, MIN aplicadas a datos de ventas</t>
  </si>
  <si>
    <t xml:space="preserve">Vendedor</t>
  </si>
  <si>
    <t xml:space="preserve">Region</t>
  </si>
  <si>
    <t xml:space="preserve">Sales</t>
  </si>
  <si>
    <t xml:space="preserve">Units</t>
  </si>
  <si>
    <t xml:space="preserve">Ana Lopez</t>
  </si>
  <si>
    <t xml:space="preserve">Norte</t>
  </si>
  <si>
    <t xml:space="preserve">Carlos Ruiz</t>
  </si>
  <si>
    <t xml:space="preserve">Sur</t>
  </si>
  <si>
    <t xml:space="preserve">Maria Torres</t>
  </si>
  <si>
    <t xml:space="preserve">Juan Perez</t>
  </si>
  <si>
    <t xml:space="preserve">Este</t>
  </si>
  <si>
    <t xml:space="preserve">Laura Gomez</t>
  </si>
  <si>
    <t xml:space="preserve">Pedro Diaz</t>
  </si>
  <si>
    <t xml:space="preserve">Oeste</t>
  </si>
  <si>
    <t xml:space="preserve">Sofia Ramirez</t>
  </si>
  <si>
    <t xml:space="preserve">Diego Fernandez</t>
  </si>
  <si>
    <t xml:space="preserve">Valentina Cruz</t>
  </si>
  <si>
    <t xml:space="preserve">Andres Morales</t>
  </si>
  <si>
    <t xml:space="preserve">Resumen con funciones</t>
  </si>
  <si>
    <t xml:space="preserve">Metrica</t>
  </si>
  <si>
    <t xml:space="preserve">Total Sales</t>
  </si>
  <si>
    <t xml:space="preserve">Average Sale</t>
  </si>
  <si>
    <t xml:space="preserve">Number of Sales</t>
  </si>
  <si>
    <t xml:space="preserve">Records with Data</t>
  </si>
  <si>
    <t xml:space="preserve">Highest Sale</t>
  </si>
  <si>
    <t xml:space="preserve">Lowest Sale</t>
  </si>
  <si>
    <t xml:space="preserve">Conditional Formatting — Ejemplos</t>
  </si>
  <si>
    <t xml:space="preserve">  Modulo 5 — Aplica estas reglas a los datos para ver como funcionan</t>
  </si>
  <si>
    <t xml:space="preserve">Datos de ejemplo para aplicar Conditional Formatting</t>
  </si>
  <si>
    <t xml:space="preserve">Selecciona la columna Sales y aplica cada tipo de regla desde Home &gt; Conditional Formatting.</t>
  </si>
  <si>
    <t xml:space="preserve">Employee</t>
  </si>
  <si>
    <t xml:space="preserve">Department</t>
  </si>
  <si>
    <t xml:space="preserve">Target</t>
  </si>
  <si>
    <t xml:space="preserve">Status</t>
  </si>
  <si>
    <t xml:space="preserve">Above Target</t>
  </si>
  <si>
    <t xml:space="preserve">Below Target</t>
  </si>
  <si>
    <t xml:space="preserve">Marketing</t>
  </si>
  <si>
    <t xml:space="preserve">Reglas para practicar:</t>
  </si>
  <si>
    <t xml:space="preserve">1. Highlight Cell Rules &gt; Less Than &gt; 12000 en columna Sales (rojo)</t>
  </si>
  <si>
    <t xml:space="preserve">2. Top/Bottom Rules &gt; Top 3 Items en columna Sales (verde)</t>
  </si>
  <si>
    <t xml:space="preserve">3. Data Bars en columna Sales (barras visuales)</t>
  </si>
  <si>
    <t xml:space="preserve">4. Color Scales (3 colores) en columna Sales</t>
  </si>
  <si>
    <t xml:space="preserve">5. Highlight Cell Rules &gt; Text That Contains &gt; 'Below' en columna Status</t>
  </si>
  <si>
    <t xml:space="preserve">Sort and Filter — Datos de practica</t>
  </si>
  <si>
    <t xml:space="preserve">  Modulo 6 — Usa estos datos para practicar Sort y Filter</t>
  </si>
  <si>
    <t xml:space="preserve">Product</t>
  </si>
  <si>
    <t xml:space="preserve">Category</t>
  </si>
  <si>
    <t xml:space="preserve">Laptop Pro</t>
  </si>
  <si>
    <t xml:space="preserve">Electronics</t>
  </si>
  <si>
    <t xml:space="preserve">2025-01-15</t>
  </si>
  <si>
    <t xml:space="preserve">Mouse Wireless</t>
  </si>
  <si>
    <t xml:space="preserve">Accessories</t>
  </si>
  <si>
    <t xml:space="preserve">2025-01-22</t>
  </si>
  <si>
    <t xml:space="preserve">Monitor 27in</t>
  </si>
  <si>
    <t xml:space="preserve">2025-02-03</t>
  </si>
  <si>
    <t xml:space="preserve">Keyboard</t>
  </si>
  <si>
    <t xml:space="preserve">2025-02-14</t>
  </si>
  <si>
    <t xml:space="preserve">2025-02-28</t>
  </si>
  <si>
    <t xml:space="preserve">Webcam HD</t>
  </si>
  <si>
    <t xml:space="preserve">2025-03-05</t>
  </si>
  <si>
    <t xml:space="preserve">2025-03-12</t>
  </si>
  <si>
    <t xml:space="preserve">2025-03-18</t>
  </si>
  <si>
    <t xml:space="preserve">2025-03-25</t>
  </si>
  <si>
    <t xml:space="preserve">2025-04-02</t>
  </si>
  <si>
    <t xml:space="preserve">2025-04-10</t>
  </si>
  <si>
    <t xml:space="preserve">2025-04-15</t>
  </si>
  <si>
    <t xml:space="preserve">Ejercicios sugeridos:</t>
  </si>
  <si>
    <t xml:space="preserve">1. Sort A-Z por Region, luego Custom Sort por Region (A-Z) + Sales (mayor a menor)</t>
  </si>
  <si>
    <t xml:space="preserve">2. Activar Filter (Ctrl+Shift+L) y filtrar solo Electronics</t>
  </si>
  <si>
    <t xml:space="preserve">3. Number Filter en Sales: Greater Than 20000</t>
  </si>
  <si>
    <t xml:space="preserve">4. Filtrar por Region = Norte, observar SUM en Status Bar</t>
  </si>
  <si>
    <t xml:space="preserve">Charts — Datos y guia</t>
  </si>
  <si>
    <t xml:space="preserve">  Modulo 7 — Datos listos para crear Column, Line y Pie Charts</t>
  </si>
  <si>
    <t xml:space="preserve">Datos para Column Chart (ventas por region)</t>
  </si>
  <si>
    <t xml:space="preserve">Datos para Line Chart (tendencia mensual)</t>
  </si>
  <si>
    <t xml:space="preserve">Month</t>
  </si>
  <si>
    <t xml:space="preserve">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</si>
  <si>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</si>
  <si>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</si>
  <si>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</si>
  <si>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</si>
  <si>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</si>
  <si>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</si>
  <si>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Datos para Pie Chart (distribucion por categoria)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</si>
</sst>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0"/>
    <numFmt numFmtId="167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3"/>
      <color rgb="FF520F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BF360C"/>
      <name val="Arial"/>
      <family val="0"/>
      <charset val="1"/>
    </font>
    <font>
      <sz val="10"/>
      <color rgb="FF1B5E2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7B1D3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1B5E2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520F1E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EDCAD0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5C480F"/>
      <rgbColor rgb="FFBF360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Data'!C6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Data'!$B$7:$B$9</c:f>
              <c:strCache>
                <c:ptCount val="3"/>
                <c:pt idx="0">
                  <c:v>Norte</c:v>
                </c:pt>
                <c:pt idx="1">
                  <c:v>Sur</c:v>
                </c:pt>
                <c:pt idx="2">
                  <c:v>Este</c:v>
                </c:pt>
              </c:strCache>
            </c:strRef>
          </c:cat>
          <c:val>
            <c:numRef>
              <c:f>'Charts Data'!$C$7:$C$9</c:f>
              <c:numCache>
                <c:formatCode>#,##0</c:formatCode>
                <c:ptCount val="3"/>
                <c:pt idx="0">
                  <c:v>83200</c:v>
                </c:pt>
                <c:pt idx="1">
                  <c:v>49800</c:v>
                </c:pt>
                <c:pt idx="2">
                  <c:v>31200</c:v>
                </c:pt>
              </c:numCache>
            </c:numRef>
          </c:val>
        </c:ser>
        <c:gapWidth val="150"/>
        <c:overlap val="0"/>
        <c:axId val="16455014"/>
        <c:axId val="49508397"/>
      </c:barChart>
      <c:catAx>
        <c:axId val="164550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08397"/>
        <c:crosses val="autoZero"/>
        <c:auto val="1"/>
        <c:lblAlgn val="ctr"/>
        <c:lblOffset val="100"/>
        <c:noMultiLvlLbl val="0"/>
      </c:catAx>
      <c:valAx>
        <c:axId val="49508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550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'Charts Data'!C14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Data'!$B$15:$B$20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'Charts Data'!$C$15:$C$20</c:f>
              <c:numCache>
                <c:formatCode>#,##0</c:formatCode>
                <c:ptCount val="6"/>
                <c:pt idx="0">
                  <c:v>45000</c:v>
                </c:pt>
                <c:pt idx="1">
                  <c:v>52000</c:v>
                </c:pt>
                <c:pt idx="2">
                  <c:v>48000</c:v>
                </c:pt>
                <c:pt idx="3">
                  <c:v>61000</c:v>
                </c:pt>
                <c:pt idx="4">
                  <c:v>58000</c:v>
                </c:pt>
                <c:pt idx="5">
                  <c:v>72000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510409"/>
        <c:axId val="3695270"/>
      </c:lineChart>
      <c:catAx>
        <c:axId val="39510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5270"/>
        <c:crosses val="autoZero"/>
        <c:auto val="1"/>
        <c:lblAlgn val="ctr"/>
        <c:lblOffset val="100"/>
        <c:noMultiLvlLbl val="0"/>
      </c:catAx>
      <c:valAx>
        <c:axId val="3695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104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'Charts Data'!C24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'Charts Data'!$B$25:$B$26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'Charts Data'!$C$25:$C$26</c:f>
              <c:numCache>
                <c:formatCode>#,##0</c:formatCode>
                <c:ptCount val="2"/>
                <c:pt idx="0">
                  <c:v>219000</c:v>
                </c:pt>
                <c:pt idx="1">
                  <c:v>35300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11</xdr:col>
      <xdr:colOff>17640</xdr:colOff>
      <xdr:row>26</xdr:row>
      <xdr:rowOff>84960</xdr:rowOff>
    </xdr:to>
    <xdr:graphicFrame>
      <xdr:nvGraphicFramePr>
        <xdr:cNvPr id="0" name="Chart 1"/>
        <xdr:cNvGraphicFramePr/>
      </xdr:nvGraphicFramePr>
      <xdr:xfrm>
        <a:off x="3594600" y="9907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12</xdr:row>
      <xdr:rowOff>175680</xdr:rowOff>
    </xdr:from>
    <xdr:to>
      <xdr:col>11</xdr:col>
      <xdr:colOff>17640</xdr:colOff>
      <xdr:row>35</xdr:row>
      <xdr:rowOff>84600</xdr:rowOff>
    </xdr:to>
    <xdr:graphicFrame>
      <xdr:nvGraphicFramePr>
        <xdr:cNvPr id="1" name="Chart 2"/>
        <xdr:cNvGraphicFramePr/>
      </xdr:nvGraphicFramePr>
      <xdr:xfrm>
        <a:off x="3594600" y="27050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22</xdr:row>
      <xdr:rowOff>161280</xdr:rowOff>
    </xdr:from>
    <xdr:to>
      <xdr:col>8</xdr:col>
      <xdr:colOff>528480</xdr:colOff>
      <xdr:row>45</xdr:row>
      <xdr:rowOff>84960</xdr:rowOff>
    </xdr:to>
    <xdr:graphicFrame>
      <xdr:nvGraphicFramePr>
        <xdr:cNvPr id="2" name="Chart 3"/>
        <xdr:cNvGraphicFramePr/>
      </xdr:nvGraphicFramePr>
      <xdr:xfrm>
        <a:off x="3594600" y="46101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J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  <c r="H7" s="4"/>
      <c r="I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  <c r="H9" s="4"/>
      <c r="I9" s="4"/>
    </row>
    <row r="10" customFormat="false" ht="1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B11" s="3" t="s">
        <v>14</v>
      </c>
      <c r="C11" s="4" t="s">
        <v>15</v>
      </c>
      <c r="D11" s="4"/>
      <c r="E11" s="4"/>
      <c r="F11" s="4"/>
      <c r="G11" s="4"/>
      <c r="H11" s="4"/>
      <c r="I11" s="4"/>
    </row>
  </sheetData>
  <mergeCells count="9">
    <mergeCell ref="A1:J2"/>
    <mergeCell ref="A3:J3"/>
    <mergeCell ref="C5:I5"/>
    <mergeCell ref="C6:I6"/>
    <mergeCell ref="C7:I7"/>
    <mergeCell ref="C8:I8"/>
    <mergeCell ref="C9:I9"/>
    <mergeCell ref="C10:I10"/>
    <mergeCell ref="C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5" t="s">
        <v>18</v>
      </c>
      <c r="E5" s="5" t="s">
        <v>19</v>
      </c>
    </row>
    <row r="7" customFormat="false" ht="15" hidden="false" customHeight="false" outlineLevel="0" collapsed="false"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</row>
    <row r="8" customFormat="false" ht="15" hidden="false" customHeight="false" outlineLevel="0" collapsed="false">
      <c r="B8" s="7" t="s">
        <v>25</v>
      </c>
      <c r="C8" s="7" t="s">
        <v>25</v>
      </c>
      <c r="D8" s="8" t="s">
        <v>26</v>
      </c>
      <c r="E8" s="7" t="s">
        <v>27</v>
      </c>
      <c r="F8" s="9" t="s">
        <v>25</v>
      </c>
    </row>
    <row r="9" customFormat="false" ht="15" hidden="false" customHeight="false" outlineLevel="0" collapsed="false">
      <c r="B9" s="7" t="s">
        <v>28</v>
      </c>
      <c r="C9" s="7" t="s">
        <v>28</v>
      </c>
      <c r="D9" s="8" t="s">
        <v>26</v>
      </c>
      <c r="E9" s="7" t="s">
        <v>29</v>
      </c>
      <c r="F9" s="9" t="s">
        <v>30</v>
      </c>
    </row>
    <row r="10" customFormat="false" ht="15" hidden="false" customHeight="false" outlineLevel="0" collapsed="false">
      <c r="B10" s="7" t="s">
        <v>31</v>
      </c>
      <c r="C10" s="7" t="s">
        <v>31</v>
      </c>
      <c r="D10" s="8" t="s">
        <v>26</v>
      </c>
      <c r="E10" s="7" t="s">
        <v>32</v>
      </c>
      <c r="F10" s="9" t="s">
        <v>33</v>
      </c>
    </row>
    <row r="11" customFormat="false" ht="15" hidden="false" customHeight="false" outlineLevel="0" collapsed="false">
      <c r="B11" s="7" t="s">
        <v>34</v>
      </c>
      <c r="C11" s="7" t="s">
        <v>35</v>
      </c>
      <c r="D11" s="8" t="s">
        <v>36</v>
      </c>
      <c r="E11" s="7" t="s">
        <v>37</v>
      </c>
      <c r="F11" s="9" t="s">
        <v>34</v>
      </c>
    </row>
    <row r="12" customFormat="false" ht="15" hidden="false" customHeight="false" outlineLevel="0" collapsed="false">
      <c r="B12" s="7" t="s">
        <v>38</v>
      </c>
      <c r="C12" s="7" t="s">
        <v>38</v>
      </c>
      <c r="D12" s="8" t="s">
        <v>39</v>
      </c>
      <c r="E12" s="7" t="s">
        <v>40</v>
      </c>
      <c r="F12" s="9" t="s">
        <v>41</v>
      </c>
    </row>
    <row r="13" customFormat="false" ht="15" hidden="false" customHeight="false" outlineLevel="0" collapsed="false">
      <c r="B13" s="7" t="s">
        <v>42</v>
      </c>
      <c r="C13" s="7" t="s">
        <v>42</v>
      </c>
      <c r="D13" s="8" t="s">
        <v>37</v>
      </c>
      <c r="E13" s="7" t="s">
        <v>43</v>
      </c>
      <c r="F13" s="9" t="s">
        <v>42</v>
      </c>
    </row>
    <row r="14" customFormat="false" ht="15" hidden="false" customHeight="false" outlineLevel="0" collapsed="false">
      <c r="B14" s="7" t="s">
        <v>44</v>
      </c>
      <c r="C14" s="7" t="s">
        <v>45</v>
      </c>
      <c r="D14" s="8" t="s">
        <v>46</v>
      </c>
      <c r="E14" s="7" t="s">
        <v>43</v>
      </c>
      <c r="F14" s="9" t="s">
        <v>44</v>
      </c>
    </row>
    <row r="17" customFormat="false" ht="16.15" hidden="false" customHeight="false" outlineLevel="0" collapsed="false">
      <c r="B17" s="5" t="s">
        <v>47</v>
      </c>
    </row>
    <row r="18" customFormat="false" ht="15" hidden="false" customHeight="true" outlineLevel="0" collapsed="false">
      <c r="B18" s="10" t="s">
        <v>48</v>
      </c>
      <c r="D18" s="11" t="s">
        <v>49</v>
      </c>
      <c r="E18" s="11"/>
      <c r="F18" s="11"/>
      <c r="G18" s="11"/>
      <c r="H18" s="11"/>
    </row>
    <row r="19" customFormat="false" ht="15" hidden="false" customHeight="true" outlineLevel="0" collapsed="false">
      <c r="B19" s="10" t="s">
        <v>50</v>
      </c>
      <c r="D19" s="11" t="s">
        <v>51</v>
      </c>
      <c r="E19" s="11"/>
      <c r="F19" s="11"/>
      <c r="G19" s="11"/>
      <c r="H19" s="11"/>
    </row>
    <row r="20" customFormat="false" ht="15" hidden="false" customHeight="true" outlineLevel="0" collapsed="false">
      <c r="B20" s="10" t="s">
        <v>52</v>
      </c>
      <c r="D20" s="11" t="s">
        <v>53</v>
      </c>
      <c r="E20" s="11"/>
      <c r="F20" s="11"/>
      <c r="G20" s="11"/>
      <c r="H20" s="11"/>
    </row>
    <row r="21" customFormat="false" ht="15" hidden="false" customHeight="true" outlineLevel="0" collapsed="false">
      <c r="B21" s="10" t="s">
        <v>54</v>
      </c>
      <c r="D21" s="11" t="s">
        <v>55</v>
      </c>
      <c r="E21" s="11"/>
      <c r="F21" s="11"/>
      <c r="G21" s="11"/>
      <c r="H21" s="11"/>
    </row>
  </sheetData>
  <mergeCells count="6">
    <mergeCell ref="A1:J2"/>
    <mergeCell ref="A3:J3"/>
    <mergeCell ref="D18:H18"/>
    <mergeCell ref="D19:H19"/>
    <mergeCell ref="D20:H20"/>
    <mergeCell ref="D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57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5" t="s">
        <v>58</v>
      </c>
    </row>
    <row r="7" customFormat="false" ht="15" hidden="false" customHeight="false" outlineLevel="0" collapsed="false">
      <c r="B7" s="6" t="s">
        <v>59</v>
      </c>
      <c r="C7" s="6" t="s">
        <v>60</v>
      </c>
      <c r="D7" s="6" t="s">
        <v>61</v>
      </c>
    </row>
    <row r="8" customFormat="false" ht="15" hidden="false" customHeight="false" outlineLevel="0" collapsed="false">
      <c r="B8" s="12" t="n">
        <f aca="false">5+3</f>
        <v>8</v>
      </c>
      <c r="C8" s="7" t="n">
        <v>8</v>
      </c>
      <c r="D8" s="8" t="s">
        <v>62</v>
      </c>
    </row>
    <row r="9" customFormat="false" ht="15" hidden="false" customHeight="false" outlineLevel="0" collapsed="false">
      <c r="B9" s="12" t="n">
        <f aca="false">10-4</f>
        <v>6</v>
      </c>
      <c r="C9" s="7" t="n">
        <v>6</v>
      </c>
      <c r="D9" s="8" t="s">
        <v>63</v>
      </c>
    </row>
    <row r="10" customFormat="false" ht="15" hidden="false" customHeight="false" outlineLevel="0" collapsed="false">
      <c r="B10" s="12" t="n">
        <f aca="false">6*7</f>
        <v>42</v>
      </c>
      <c r="C10" s="7" t="n">
        <v>42</v>
      </c>
      <c r="D10" s="8" t="s">
        <v>64</v>
      </c>
    </row>
    <row r="11" customFormat="false" ht="15" hidden="false" customHeight="false" outlineLevel="0" collapsed="false">
      <c r="B11" s="12" t="n">
        <f aca="false">20/4</f>
        <v>5</v>
      </c>
      <c r="C11" s="7" t="n">
        <v>5</v>
      </c>
      <c r="D11" s="8" t="s">
        <v>65</v>
      </c>
    </row>
    <row r="12" customFormat="false" ht="15" hidden="false" customHeight="false" outlineLevel="0" collapsed="false">
      <c r="B12" s="12" t="n">
        <f aca="false">2^3</f>
        <v>8</v>
      </c>
      <c r="C12" s="7" t="n">
        <v>8</v>
      </c>
      <c r="D12" s="8" t="s">
        <v>66</v>
      </c>
    </row>
    <row r="13" customFormat="false" ht="15" hidden="false" customHeight="false" outlineLevel="0" collapsed="false">
      <c r="B13" s="12" t="n">
        <f aca="false">50*15%</f>
        <v>7.5</v>
      </c>
      <c r="C13" s="7" t="n">
        <v>7.5</v>
      </c>
      <c r="D13" s="8" t="s">
        <v>67</v>
      </c>
    </row>
    <row r="16" customFormat="false" ht="16.15" hidden="false" customHeight="false" outlineLevel="0" collapsed="false">
      <c r="B16" s="5" t="s">
        <v>68</v>
      </c>
    </row>
    <row r="18" customFormat="false" ht="15" hidden="false" customHeight="false" outlineLevel="0" collapsed="false">
      <c r="B18" s="6" t="s">
        <v>59</v>
      </c>
      <c r="C18" s="6" t="s">
        <v>60</v>
      </c>
      <c r="D18" s="6" t="s">
        <v>69</v>
      </c>
    </row>
    <row r="19" customFormat="false" ht="15" hidden="false" customHeight="false" outlineLevel="0" collapsed="false">
      <c r="B19" s="12" t="n">
        <f aca="false">2+3*4</f>
        <v>14</v>
      </c>
      <c r="C19" s="7" t="n">
        <v>14</v>
      </c>
      <c r="D19" s="8" t="s">
        <v>70</v>
      </c>
    </row>
    <row r="20" customFormat="false" ht="15" hidden="false" customHeight="false" outlineLevel="0" collapsed="false">
      <c r="B20" s="12" t="n">
        <f aca="false">(2+3)*4</f>
        <v>20</v>
      </c>
      <c r="C20" s="7" t="n">
        <v>20</v>
      </c>
      <c r="D20" s="8" t="s">
        <v>71</v>
      </c>
    </row>
    <row r="21" customFormat="false" ht="15" hidden="false" customHeight="false" outlineLevel="0" collapsed="false">
      <c r="B21" s="12" t="n">
        <f aca="false">2+3^2</f>
        <v>11</v>
      </c>
      <c r="C21" s="7" t="n">
        <v>11</v>
      </c>
      <c r="D21" s="8" t="s">
        <v>72</v>
      </c>
    </row>
    <row r="22" customFormat="false" ht="15" hidden="false" customHeight="false" outlineLevel="0" collapsed="false">
      <c r="B22" s="12" t="n">
        <f aca="false">(2+3)^2</f>
        <v>25</v>
      </c>
      <c r="C22" s="7" t="n">
        <v>25</v>
      </c>
      <c r="D22" s="8" t="s">
        <v>73</v>
      </c>
    </row>
    <row r="23" customFormat="false" ht="15" hidden="false" customHeight="false" outlineLevel="0" collapsed="false">
      <c r="B23" s="12" t="n">
        <f aca="false">10/2+3</f>
        <v>8</v>
      </c>
      <c r="C23" s="7" t="n">
        <v>8</v>
      </c>
      <c r="D23" s="8" t="s">
        <v>74</v>
      </c>
    </row>
    <row r="24" customFormat="false" ht="15" hidden="false" customHeight="false" outlineLevel="0" collapsed="false">
      <c r="B24" s="12" t="n">
        <f aca="false">10/(2+3)</f>
        <v>2</v>
      </c>
      <c r="C24" s="7" t="n">
        <v>2</v>
      </c>
      <c r="D24" s="8" t="s">
        <v>75</v>
      </c>
    </row>
    <row r="27" customFormat="false" ht="16.15" hidden="false" customHeight="false" outlineLevel="0" collapsed="false">
      <c r="B27" s="5" t="s">
        <v>76</v>
      </c>
    </row>
    <row r="28" customFormat="false" ht="15" hidden="false" customHeight="false" outlineLevel="0" collapsed="false">
      <c r="B28" s="13" t="s">
        <v>77</v>
      </c>
      <c r="C28" s="13" t="s">
        <v>78</v>
      </c>
      <c r="D28" s="13" t="s">
        <v>79</v>
      </c>
      <c r="E28" s="13" t="s">
        <v>80</v>
      </c>
    </row>
    <row r="29" customFormat="false" ht="15" hidden="false" customHeight="false" outlineLevel="0" collapsed="false">
      <c r="B29" s="14" t="n">
        <v>25</v>
      </c>
      <c r="C29" s="7" t="n">
        <v>10</v>
      </c>
      <c r="D29" s="14" t="n">
        <f aca="false">B29*C29</f>
        <v>250</v>
      </c>
      <c r="E29" s="12" t="n">
        <f aca="false">B29*C29</f>
        <v>250</v>
      </c>
    </row>
    <row r="30" customFormat="false" ht="15" hidden="false" customHeight="false" outlineLevel="0" collapsed="false">
      <c r="B30" s="14" t="n">
        <v>15.5</v>
      </c>
      <c r="C30" s="7" t="n">
        <v>20</v>
      </c>
      <c r="D30" s="14" t="n">
        <f aca="false">B30*C30</f>
        <v>310</v>
      </c>
      <c r="E30" s="12" t="n">
        <f aca="false">B30*C30</f>
        <v>310</v>
      </c>
    </row>
    <row r="31" customFormat="false" ht="15" hidden="false" customHeight="false" outlineLevel="0" collapsed="false">
      <c r="B31" s="14" t="n">
        <v>8.99</v>
      </c>
      <c r="C31" s="7" t="n">
        <v>5</v>
      </c>
      <c r="D31" s="14" t="n">
        <f aca="false">B31*C31</f>
        <v>44.95</v>
      </c>
      <c r="E31" s="12" t="n">
        <f aca="false">B31*C31</f>
        <v>44.95</v>
      </c>
    </row>
    <row r="32" customFormat="false" ht="15" hidden="false" customHeight="false" outlineLevel="0" collapsed="false">
      <c r="B32" s="14" t="n">
        <v>42</v>
      </c>
      <c r="C32" s="7" t="n">
        <v>3</v>
      </c>
      <c r="D32" s="14" t="n">
        <f aca="false">B32*C32</f>
        <v>126</v>
      </c>
      <c r="E32" s="12" t="n">
        <f aca="false">B32*C32</f>
        <v>126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82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5" t="s">
        <v>83</v>
      </c>
    </row>
    <row r="6" customFormat="false" ht="15" hidden="false" customHeight="false" outlineLevel="0" collapsed="false">
      <c r="B6" s="15" t="s">
        <v>84</v>
      </c>
    </row>
    <row r="8" customFormat="false" ht="15" hidden="false" customHeight="false" outlineLevel="0" collapsed="false">
      <c r="B8" s="6" t="s">
        <v>77</v>
      </c>
      <c r="C8" s="6" t="s">
        <v>78</v>
      </c>
      <c r="D8" s="6" t="s">
        <v>79</v>
      </c>
      <c r="E8" s="6" t="s">
        <v>85</v>
      </c>
    </row>
    <row r="9" customFormat="false" ht="15" hidden="false" customHeight="false" outlineLevel="0" collapsed="false">
      <c r="B9" s="16" t="n">
        <v>100</v>
      </c>
      <c r="C9" s="7" t="n">
        <v>5</v>
      </c>
      <c r="D9" s="16" t="n">
        <f aca="false">B9*C9</f>
        <v>500</v>
      </c>
      <c r="E9" s="12" t="n">
        <f aca="false">B9*C9</f>
        <v>500</v>
      </c>
    </row>
    <row r="10" customFormat="false" ht="15" hidden="false" customHeight="false" outlineLevel="0" collapsed="false">
      <c r="B10" s="16" t="n">
        <v>200</v>
      </c>
      <c r="C10" s="7" t="n">
        <v>3</v>
      </c>
      <c r="D10" s="16" t="n">
        <f aca="false">B10*C10</f>
        <v>600</v>
      </c>
      <c r="E10" s="12" t="n">
        <f aca="false">B10*C10</f>
        <v>600</v>
      </c>
    </row>
    <row r="11" customFormat="false" ht="15" hidden="false" customHeight="false" outlineLevel="0" collapsed="false">
      <c r="B11" s="16" t="n">
        <v>150</v>
      </c>
      <c r="C11" s="7" t="n">
        <v>8</v>
      </c>
      <c r="D11" s="16" t="n">
        <f aca="false">B11*C11</f>
        <v>1200</v>
      </c>
      <c r="E11" s="12" t="n">
        <f aca="false">B11*C11</f>
        <v>1200</v>
      </c>
    </row>
    <row r="12" customFormat="false" ht="15" hidden="false" customHeight="false" outlineLevel="0" collapsed="false">
      <c r="B12" s="16" t="n">
        <v>75</v>
      </c>
      <c r="C12" s="7" t="n">
        <v>12</v>
      </c>
      <c r="D12" s="16" t="n">
        <f aca="false">B12*C12</f>
        <v>900</v>
      </c>
      <c r="E12" s="12" t="n">
        <f aca="false">B12*C12</f>
        <v>900</v>
      </c>
    </row>
    <row r="13" customFormat="false" ht="15" hidden="false" customHeight="false" outlineLevel="0" collapsed="false">
      <c r="B13" s="16" t="n">
        <v>300</v>
      </c>
      <c r="C13" s="7" t="n">
        <v>2</v>
      </c>
      <c r="D13" s="16" t="n">
        <f aca="false">B13*C13</f>
        <v>600</v>
      </c>
      <c r="E13" s="12" t="n">
        <f aca="false">B13*C13</f>
        <v>600</v>
      </c>
    </row>
    <row r="16" customFormat="false" ht="15" hidden="false" customHeight="true" outlineLevel="0" collapsed="false">
      <c r="B16" s="17" t="s">
        <v>86</v>
      </c>
      <c r="C16" s="17"/>
      <c r="D16" s="17"/>
      <c r="E16" s="17"/>
      <c r="F16" s="17"/>
      <c r="G16" s="17"/>
      <c r="H16" s="17"/>
    </row>
  </sheetData>
  <mergeCells count="3">
    <mergeCell ref="A1:J2"/>
    <mergeCell ref="A3:J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9" min="6" style="0" width="1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88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6" t="s">
        <v>89</v>
      </c>
      <c r="C5" s="6" t="s">
        <v>90</v>
      </c>
      <c r="D5" s="6" t="s">
        <v>91</v>
      </c>
      <c r="E5" s="6" t="s">
        <v>92</v>
      </c>
    </row>
    <row r="6" customFormat="false" ht="15" hidden="false" customHeight="false" outlineLevel="0" collapsed="false">
      <c r="B6" s="7" t="s">
        <v>93</v>
      </c>
      <c r="C6" s="7" t="s">
        <v>94</v>
      </c>
      <c r="D6" s="16" t="n">
        <v>15000</v>
      </c>
      <c r="E6" s="7" t="n">
        <v>45</v>
      </c>
    </row>
    <row r="7" customFormat="false" ht="15" hidden="false" customHeight="false" outlineLevel="0" collapsed="false">
      <c r="B7" s="7" t="s">
        <v>95</v>
      </c>
      <c r="C7" s="7" t="s">
        <v>96</v>
      </c>
      <c r="D7" s="16" t="n">
        <v>8500</v>
      </c>
      <c r="E7" s="7" t="n">
        <v>28</v>
      </c>
    </row>
    <row r="8" customFormat="false" ht="15" hidden="false" customHeight="false" outlineLevel="0" collapsed="false">
      <c r="B8" s="7" t="s">
        <v>97</v>
      </c>
      <c r="C8" s="7" t="s">
        <v>94</v>
      </c>
      <c r="D8" s="16" t="n">
        <v>22000</v>
      </c>
      <c r="E8" s="7" t="n">
        <v>67</v>
      </c>
    </row>
    <row r="9" customFormat="false" ht="15" hidden="false" customHeight="false" outlineLevel="0" collapsed="false">
      <c r="B9" s="7" t="s">
        <v>98</v>
      </c>
      <c r="C9" s="7" t="s">
        <v>99</v>
      </c>
      <c r="D9" s="16" t="n">
        <v>11200</v>
      </c>
      <c r="E9" s="7" t="n">
        <v>35</v>
      </c>
    </row>
    <row r="10" customFormat="false" ht="15" hidden="false" customHeight="false" outlineLevel="0" collapsed="false">
      <c r="B10" s="7" t="s">
        <v>100</v>
      </c>
      <c r="C10" s="7" t="s">
        <v>96</v>
      </c>
      <c r="D10" s="16" t="n">
        <v>19500</v>
      </c>
      <c r="E10" s="7" t="n">
        <v>58</v>
      </c>
    </row>
    <row r="11" customFormat="false" ht="15" hidden="false" customHeight="false" outlineLevel="0" collapsed="false">
      <c r="B11" s="7" t="s">
        <v>101</v>
      </c>
      <c r="C11" s="7" t="s">
        <v>102</v>
      </c>
      <c r="D11" s="16" t="n">
        <v>6800</v>
      </c>
      <c r="E11" s="7" t="n">
        <v>22</v>
      </c>
    </row>
    <row r="12" customFormat="false" ht="15" hidden="false" customHeight="false" outlineLevel="0" collapsed="false">
      <c r="B12" s="7" t="s">
        <v>103</v>
      </c>
      <c r="C12" s="7" t="s">
        <v>99</v>
      </c>
      <c r="D12" s="16" t="n">
        <v>14300</v>
      </c>
      <c r="E12" s="7" t="n">
        <v>42</v>
      </c>
    </row>
    <row r="13" customFormat="false" ht="15" hidden="false" customHeight="false" outlineLevel="0" collapsed="false">
      <c r="B13" s="7" t="s">
        <v>104</v>
      </c>
      <c r="C13" s="7" t="s">
        <v>102</v>
      </c>
      <c r="D13" s="16" t="n">
        <v>17800</v>
      </c>
      <c r="E13" s="7" t="n">
        <v>53</v>
      </c>
    </row>
    <row r="14" customFormat="false" ht="15" hidden="false" customHeight="false" outlineLevel="0" collapsed="false">
      <c r="B14" s="7" t="s">
        <v>105</v>
      </c>
      <c r="C14" s="7" t="s">
        <v>94</v>
      </c>
      <c r="D14" s="16" t="n">
        <v>9200</v>
      </c>
      <c r="E14" s="7" t="n">
        <v>30</v>
      </c>
    </row>
    <row r="15" customFormat="false" ht="15" hidden="false" customHeight="false" outlineLevel="0" collapsed="false">
      <c r="B15" s="7" t="s">
        <v>106</v>
      </c>
      <c r="C15" s="7" t="s">
        <v>96</v>
      </c>
      <c r="D15" s="16" t="n">
        <v>13500</v>
      </c>
      <c r="E15" s="7" t="n">
        <v>41</v>
      </c>
    </row>
    <row r="17" customFormat="false" ht="16.15" hidden="false" customHeight="false" outlineLevel="0" collapsed="false">
      <c r="B17" s="5" t="s">
        <v>107</v>
      </c>
    </row>
    <row r="19" customFormat="false" ht="15" hidden="false" customHeight="false" outlineLevel="0" collapsed="false">
      <c r="B19" s="6" t="s">
        <v>108</v>
      </c>
      <c r="C19" s="6" t="s">
        <v>59</v>
      </c>
      <c r="D19" s="6" t="s">
        <v>60</v>
      </c>
    </row>
    <row r="20" customFormat="false" ht="15" hidden="false" customHeight="false" outlineLevel="0" collapsed="false">
      <c r="B20" s="18" t="s">
        <v>109</v>
      </c>
      <c r="C20" s="12" t="n">
        <f aca="false">SUM(D6:D15)</f>
        <v>137800</v>
      </c>
      <c r="D20" s="19" t="n">
        <f aca="false">SUM(D6:D15)</f>
        <v>137800</v>
      </c>
    </row>
    <row r="21" customFormat="false" ht="15" hidden="false" customHeight="false" outlineLevel="0" collapsed="false">
      <c r="B21" s="18" t="s">
        <v>110</v>
      </c>
      <c r="C21" s="12" t="n">
        <f aca="false">AVERAGE(D6:D15)</f>
        <v>13780</v>
      </c>
      <c r="D21" s="19" t="n">
        <f aca="false">AVERAGE(D6:D15)</f>
        <v>13780</v>
      </c>
    </row>
    <row r="22" customFormat="false" ht="15" hidden="false" customHeight="false" outlineLevel="0" collapsed="false">
      <c r="B22" s="18" t="s">
        <v>111</v>
      </c>
      <c r="C22" s="12" t="n">
        <f aca="false">COUNT(D6:D15)</f>
        <v>10</v>
      </c>
      <c r="D22" s="19" t="n">
        <f aca="false">COUNT(D6:D15)</f>
        <v>10</v>
      </c>
    </row>
    <row r="23" customFormat="false" ht="15" hidden="false" customHeight="false" outlineLevel="0" collapsed="false">
      <c r="B23" s="18" t="s">
        <v>112</v>
      </c>
      <c r="C23" s="12" t="n">
        <f aca="false">COUNTA(B6:B15)</f>
        <v>10</v>
      </c>
      <c r="D23" s="19" t="n">
        <f aca="false">COUNTA(B6:B15)</f>
        <v>10</v>
      </c>
    </row>
    <row r="24" customFormat="false" ht="15" hidden="false" customHeight="false" outlineLevel="0" collapsed="false">
      <c r="B24" s="18" t="s">
        <v>113</v>
      </c>
      <c r="C24" s="12" t="n">
        <f aca="false">MAX(D6:D15)</f>
        <v>22000</v>
      </c>
      <c r="D24" s="19" t="n">
        <f aca="false">MAX(D6:D15)</f>
        <v>22000</v>
      </c>
    </row>
    <row r="25" customFormat="false" ht="15" hidden="false" customHeight="false" outlineLevel="0" collapsed="false">
      <c r="B25" s="18" t="s">
        <v>114</v>
      </c>
      <c r="C25" s="12" t="n">
        <f aca="false">MIN(D6:D15)</f>
        <v>6800</v>
      </c>
      <c r="D25" s="19" t="n">
        <f aca="false">MIN(D6:D15)</f>
        <v>6800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116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5" t="s">
        <v>117</v>
      </c>
    </row>
    <row r="6" customFormat="false" ht="15" hidden="false" customHeight="false" outlineLevel="0" collapsed="false">
      <c r="B6" s="20" t="s">
        <v>118</v>
      </c>
      <c r="C6" s="20"/>
      <c r="D6" s="20"/>
      <c r="E6" s="20"/>
      <c r="F6" s="20"/>
      <c r="G6" s="20"/>
      <c r="H6" s="20"/>
    </row>
    <row r="8" customFormat="false" ht="15" hidden="false" customHeight="false" outlineLevel="0" collapsed="false">
      <c r="B8" s="6" t="s">
        <v>119</v>
      </c>
      <c r="C8" s="6" t="s">
        <v>120</v>
      </c>
      <c r="D8" s="6" t="s">
        <v>91</v>
      </c>
      <c r="E8" s="6" t="s">
        <v>121</v>
      </c>
      <c r="F8" s="6" t="s">
        <v>122</v>
      </c>
    </row>
    <row r="9" customFormat="false" ht="15" hidden="false" customHeight="false" outlineLevel="0" collapsed="false">
      <c r="B9" s="7" t="s">
        <v>93</v>
      </c>
      <c r="C9" s="7" t="s">
        <v>91</v>
      </c>
      <c r="D9" s="16" t="n">
        <v>15000</v>
      </c>
      <c r="E9" s="16" t="n">
        <v>12000</v>
      </c>
      <c r="F9" s="7" t="s">
        <v>123</v>
      </c>
    </row>
    <row r="10" customFormat="false" ht="15" hidden="false" customHeight="false" outlineLevel="0" collapsed="false">
      <c r="B10" s="7" t="s">
        <v>95</v>
      </c>
      <c r="C10" s="7" t="s">
        <v>91</v>
      </c>
      <c r="D10" s="16" t="n">
        <v>8500</v>
      </c>
      <c r="E10" s="16" t="n">
        <v>12000</v>
      </c>
      <c r="F10" s="7" t="s">
        <v>124</v>
      </c>
    </row>
    <row r="11" customFormat="false" ht="15" hidden="false" customHeight="false" outlineLevel="0" collapsed="false">
      <c r="B11" s="7" t="s">
        <v>97</v>
      </c>
      <c r="C11" s="7" t="s">
        <v>125</v>
      </c>
      <c r="D11" s="16" t="n">
        <v>22000</v>
      </c>
      <c r="E11" s="16" t="n">
        <v>15000</v>
      </c>
      <c r="F11" s="7" t="s">
        <v>123</v>
      </c>
    </row>
    <row r="12" customFormat="false" ht="15" hidden="false" customHeight="false" outlineLevel="0" collapsed="false">
      <c r="B12" s="7" t="s">
        <v>98</v>
      </c>
      <c r="C12" s="7" t="s">
        <v>91</v>
      </c>
      <c r="D12" s="16" t="n">
        <v>11200</v>
      </c>
      <c r="E12" s="16" t="n">
        <v>12000</v>
      </c>
      <c r="F12" s="7" t="s">
        <v>124</v>
      </c>
    </row>
    <row r="13" customFormat="false" ht="15" hidden="false" customHeight="false" outlineLevel="0" collapsed="false">
      <c r="B13" s="7" t="s">
        <v>100</v>
      </c>
      <c r="C13" s="7" t="s">
        <v>125</v>
      </c>
      <c r="D13" s="16" t="n">
        <v>19500</v>
      </c>
      <c r="E13" s="16" t="n">
        <v>15000</v>
      </c>
      <c r="F13" s="7" t="s">
        <v>123</v>
      </c>
    </row>
    <row r="14" customFormat="false" ht="15" hidden="false" customHeight="false" outlineLevel="0" collapsed="false">
      <c r="B14" s="7" t="s">
        <v>101</v>
      </c>
      <c r="C14" s="7" t="s">
        <v>91</v>
      </c>
      <c r="D14" s="16" t="n">
        <v>6800</v>
      </c>
      <c r="E14" s="16" t="n">
        <v>12000</v>
      </c>
      <c r="F14" s="7" t="s">
        <v>124</v>
      </c>
    </row>
    <row r="15" customFormat="false" ht="15" hidden="false" customHeight="false" outlineLevel="0" collapsed="false">
      <c r="B15" s="7" t="s">
        <v>103</v>
      </c>
      <c r="C15" s="7" t="s">
        <v>125</v>
      </c>
      <c r="D15" s="16" t="n">
        <v>14300</v>
      </c>
      <c r="E15" s="16" t="n">
        <v>15000</v>
      </c>
      <c r="F15" s="7" t="s">
        <v>124</v>
      </c>
    </row>
    <row r="16" customFormat="false" ht="15" hidden="false" customHeight="false" outlineLevel="0" collapsed="false">
      <c r="B16" s="7" t="s">
        <v>104</v>
      </c>
      <c r="C16" s="7" t="s">
        <v>91</v>
      </c>
      <c r="D16" s="16" t="n">
        <v>17800</v>
      </c>
      <c r="E16" s="16" t="n">
        <v>12000</v>
      </c>
      <c r="F16" s="7" t="s">
        <v>123</v>
      </c>
    </row>
    <row r="19" customFormat="false" ht="16.15" hidden="false" customHeight="false" outlineLevel="0" collapsed="false">
      <c r="B19" s="5" t="s">
        <v>126</v>
      </c>
    </row>
    <row r="20" customFormat="false" ht="15" hidden="false" customHeight="true" outlineLevel="0" collapsed="false">
      <c r="B20" s="21" t="s">
        <v>127</v>
      </c>
      <c r="C20" s="21"/>
      <c r="D20" s="21"/>
      <c r="E20" s="21"/>
      <c r="F20" s="21"/>
      <c r="G20" s="21"/>
      <c r="H20" s="21"/>
    </row>
    <row r="21" customFormat="false" ht="15" hidden="false" customHeight="true" outlineLevel="0" collapsed="false">
      <c r="B21" s="21" t="s">
        <v>128</v>
      </c>
      <c r="C21" s="21"/>
      <c r="D21" s="21"/>
      <c r="E21" s="21"/>
      <c r="F21" s="21"/>
      <c r="G21" s="21"/>
      <c r="H21" s="21"/>
    </row>
    <row r="22" customFormat="false" ht="15" hidden="false" customHeight="true" outlineLevel="0" collapsed="false">
      <c r="B22" s="21" t="s">
        <v>129</v>
      </c>
      <c r="C22" s="21"/>
      <c r="D22" s="21"/>
      <c r="E22" s="21"/>
      <c r="F22" s="21"/>
      <c r="G22" s="21"/>
      <c r="H22" s="21"/>
    </row>
    <row r="23" customFormat="false" ht="15" hidden="false" customHeight="true" outlineLevel="0" collapsed="false">
      <c r="B23" s="21" t="s">
        <v>130</v>
      </c>
      <c r="C23" s="21"/>
      <c r="D23" s="21"/>
      <c r="E23" s="21"/>
      <c r="F23" s="21"/>
      <c r="G23" s="21"/>
      <c r="H23" s="21"/>
    </row>
    <row r="24" customFormat="false" ht="15" hidden="false" customHeight="true" outlineLevel="0" collapsed="false">
      <c r="B24" s="21" t="s">
        <v>131</v>
      </c>
      <c r="C24" s="21"/>
      <c r="D24" s="21"/>
      <c r="E24" s="21"/>
      <c r="F24" s="21"/>
      <c r="G24" s="21"/>
      <c r="H24" s="21"/>
    </row>
  </sheetData>
  <mergeCells count="8">
    <mergeCell ref="A1:J2"/>
    <mergeCell ref="A3:J3"/>
    <mergeCell ref="B6:H6"/>
    <mergeCell ref="B20:H20"/>
    <mergeCell ref="B21:H21"/>
    <mergeCell ref="B22:H22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7" min="5" style="0" width="14"/>
    <col collapsed="false" customWidth="true" hidden="false" outlineLevel="0" max="9" min="8" style="0" width="1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133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6" t="s">
        <v>134</v>
      </c>
      <c r="C5" s="6" t="s">
        <v>135</v>
      </c>
      <c r="D5" s="6" t="s">
        <v>90</v>
      </c>
      <c r="E5" s="6" t="s">
        <v>91</v>
      </c>
      <c r="F5" s="6" t="s">
        <v>92</v>
      </c>
      <c r="G5" s="6" t="s">
        <v>39</v>
      </c>
    </row>
    <row r="6" customFormat="false" ht="15" hidden="false" customHeight="false" outlineLevel="0" collapsed="false">
      <c r="B6" s="7" t="s">
        <v>136</v>
      </c>
      <c r="C6" s="7" t="s">
        <v>137</v>
      </c>
      <c r="D6" s="7" t="s">
        <v>94</v>
      </c>
      <c r="E6" s="16" t="n">
        <v>45000</v>
      </c>
      <c r="F6" s="7" t="n">
        <v>30</v>
      </c>
      <c r="G6" s="7" t="s">
        <v>138</v>
      </c>
    </row>
    <row r="7" customFormat="false" ht="15" hidden="false" customHeight="false" outlineLevel="0" collapsed="false">
      <c r="B7" s="7" t="s">
        <v>139</v>
      </c>
      <c r="C7" s="7" t="s">
        <v>140</v>
      </c>
      <c r="D7" s="7" t="s">
        <v>96</v>
      </c>
      <c r="E7" s="16" t="n">
        <v>4800</v>
      </c>
      <c r="F7" s="7" t="n">
        <v>160</v>
      </c>
      <c r="G7" s="7" t="s">
        <v>141</v>
      </c>
    </row>
    <row r="8" customFormat="false" ht="15" hidden="false" customHeight="false" outlineLevel="0" collapsed="false">
      <c r="B8" s="7" t="s">
        <v>142</v>
      </c>
      <c r="C8" s="7" t="s">
        <v>137</v>
      </c>
      <c r="D8" s="7" t="s">
        <v>99</v>
      </c>
      <c r="E8" s="16" t="n">
        <v>28000</v>
      </c>
      <c r="F8" s="7" t="n">
        <v>70</v>
      </c>
      <c r="G8" s="7" t="s">
        <v>143</v>
      </c>
    </row>
    <row r="9" customFormat="false" ht="15" hidden="false" customHeight="false" outlineLevel="0" collapsed="false">
      <c r="B9" s="7" t="s">
        <v>144</v>
      </c>
      <c r="C9" s="7" t="s">
        <v>140</v>
      </c>
      <c r="D9" s="7" t="s">
        <v>94</v>
      </c>
      <c r="E9" s="16" t="n">
        <v>7200</v>
      </c>
      <c r="F9" s="7" t="n">
        <v>120</v>
      </c>
      <c r="G9" s="7" t="s">
        <v>145</v>
      </c>
    </row>
    <row r="10" customFormat="false" ht="15" hidden="false" customHeight="false" outlineLevel="0" collapsed="false">
      <c r="B10" s="7" t="s">
        <v>136</v>
      </c>
      <c r="C10" s="7" t="s">
        <v>137</v>
      </c>
      <c r="D10" s="7" t="s">
        <v>102</v>
      </c>
      <c r="E10" s="16" t="n">
        <v>52000</v>
      </c>
      <c r="F10" s="7" t="n">
        <v>35</v>
      </c>
      <c r="G10" s="7" t="s">
        <v>146</v>
      </c>
    </row>
    <row r="11" customFormat="false" ht="15" hidden="false" customHeight="false" outlineLevel="0" collapsed="false">
      <c r="B11" s="7" t="s">
        <v>147</v>
      </c>
      <c r="C11" s="7" t="s">
        <v>140</v>
      </c>
      <c r="D11" s="7" t="s">
        <v>96</v>
      </c>
      <c r="E11" s="16" t="n">
        <v>6500</v>
      </c>
      <c r="F11" s="7" t="n">
        <v>130</v>
      </c>
      <c r="G11" s="7" t="s">
        <v>148</v>
      </c>
    </row>
    <row r="12" customFormat="false" ht="15" hidden="false" customHeight="false" outlineLevel="0" collapsed="false">
      <c r="B12" s="7" t="s">
        <v>142</v>
      </c>
      <c r="C12" s="7" t="s">
        <v>137</v>
      </c>
      <c r="D12" s="7" t="s">
        <v>94</v>
      </c>
      <c r="E12" s="16" t="n">
        <v>31000</v>
      </c>
      <c r="F12" s="7" t="n">
        <v>78</v>
      </c>
      <c r="G12" s="7" t="s">
        <v>149</v>
      </c>
    </row>
    <row r="13" customFormat="false" ht="15" hidden="false" customHeight="false" outlineLevel="0" collapsed="false">
      <c r="B13" s="7" t="s">
        <v>139</v>
      </c>
      <c r="C13" s="7" t="s">
        <v>140</v>
      </c>
      <c r="D13" s="7" t="s">
        <v>99</v>
      </c>
      <c r="E13" s="16" t="n">
        <v>3200</v>
      </c>
      <c r="F13" s="7" t="n">
        <v>100</v>
      </c>
      <c r="G13" s="7" t="s">
        <v>150</v>
      </c>
    </row>
    <row r="14" customFormat="false" ht="15" hidden="false" customHeight="false" outlineLevel="0" collapsed="false">
      <c r="B14" s="7" t="s">
        <v>136</v>
      </c>
      <c r="C14" s="7" t="s">
        <v>137</v>
      </c>
      <c r="D14" s="7" t="s">
        <v>96</v>
      </c>
      <c r="E14" s="16" t="n">
        <v>38000</v>
      </c>
      <c r="F14" s="7" t="n">
        <v>25</v>
      </c>
      <c r="G14" s="7" t="s">
        <v>151</v>
      </c>
    </row>
    <row r="15" customFormat="false" ht="15" hidden="false" customHeight="false" outlineLevel="0" collapsed="false">
      <c r="B15" s="7" t="s">
        <v>144</v>
      </c>
      <c r="C15" s="7" t="s">
        <v>140</v>
      </c>
      <c r="D15" s="7" t="s">
        <v>102</v>
      </c>
      <c r="E15" s="16" t="n">
        <v>5400</v>
      </c>
      <c r="F15" s="7" t="n">
        <v>90</v>
      </c>
      <c r="G15" s="7" t="s">
        <v>152</v>
      </c>
    </row>
    <row r="16" customFormat="false" ht="15" hidden="false" customHeight="false" outlineLevel="0" collapsed="false">
      <c r="B16" s="7" t="s">
        <v>147</v>
      </c>
      <c r="C16" s="7" t="s">
        <v>140</v>
      </c>
      <c r="D16" s="7" t="s">
        <v>94</v>
      </c>
      <c r="E16" s="16" t="n">
        <v>8200</v>
      </c>
      <c r="F16" s="7" t="n">
        <v>165</v>
      </c>
      <c r="G16" s="7" t="s">
        <v>153</v>
      </c>
    </row>
    <row r="17" customFormat="false" ht="15" hidden="false" customHeight="false" outlineLevel="0" collapsed="false">
      <c r="B17" s="7" t="s">
        <v>142</v>
      </c>
      <c r="C17" s="7" t="s">
        <v>137</v>
      </c>
      <c r="D17" s="7" t="s">
        <v>102</v>
      </c>
      <c r="E17" s="16" t="n">
        <v>25000</v>
      </c>
      <c r="F17" s="7" t="n">
        <v>62</v>
      </c>
      <c r="G17" s="7" t="s">
        <v>154</v>
      </c>
    </row>
    <row r="20" customFormat="false" ht="16.15" hidden="false" customHeight="false" outlineLevel="0" collapsed="false">
      <c r="B20" s="5" t="s">
        <v>155</v>
      </c>
    </row>
    <row r="21" customFormat="false" ht="15" hidden="false" customHeight="true" outlineLevel="0" collapsed="false">
      <c r="B21" s="21" t="s">
        <v>156</v>
      </c>
      <c r="C21" s="21"/>
      <c r="D21" s="21"/>
      <c r="E21" s="21"/>
      <c r="F21" s="21"/>
      <c r="G21" s="21"/>
      <c r="H21" s="21"/>
      <c r="I21" s="21"/>
    </row>
    <row r="22" customFormat="false" ht="15" hidden="false" customHeight="true" outlineLevel="0" collapsed="false">
      <c r="B22" s="21" t="s">
        <v>157</v>
      </c>
      <c r="C22" s="21"/>
      <c r="D22" s="21"/>
      <c r="E22" s="21"/>
      <c r="F22" s="21"/>
      <c r="G22" s="21"/>
      <c r="H22" s="21"/>
      <c r="I22" s="21"/>
    </row>
    <row r="23" customFormat="false" ht="15" hidden="false" customHeight="true" outlineLevel="0" collapsed="false">
      <c r="B23" s="21" t="s">
        <v>158</v>
      </c>
      <c r="C23" s="21"/>
      <c r="D23" s="21"/>
      <c r="E23" s="21"/>
      <c r="F23" s="21"/>
      <c r="G23" s="21"/>
      <c r="H23" s="21"/>
      <c r="I23" s="21"/>
    </row>
    <row r="24" customFormat="false" ht="15" hidden="false" customHeight="true" outlineLevel="0" collapsed="false">
      <c r="B24" s="21" t="s">
        <v>159</v>
      </c>
      <c r="C24" s="21"/>
      <c r="D24" s="21"/>
      <c r="E24" s="21"/>
      <c r="F24" s="21"/>
      <c r="G24" s="21"/>
      <c r="H24" s="21"/>
      <c r="I24" s="21"/>
    </row>
  </sheetData>
  <mergeCells count="6">
    <mergeCell ref="A1:J2"/>
    <mergeCell ref="A3:J3"/>
    <mergeCell ref="B21:I21"/>
    <mergeCell ref="B22:I22"/>
    <mergeCell ref="B23:I23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161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5" t="s">
        <v>162</v>
      </c>
    </row>
    <row r="6" customFormat="false" ht="15" hidden="false" customHeight="false" outlineLevel="0" collapsed="false">
      <c r="B6" s="6" t="s">
        <v>90</v>
      </c>
      <c r="C6" s="6" t="s">
        <v>91</v>
      </c>
    </row>
    <row r="7" customFormat="false" ht="15" hidden="false" customHeight="false" outlineLevel="0" collapsed="false">
      <c r="B7" s="22" t="s">
        <v>94</v>
      </c>
      <c r="C7" s="23" t="n">
        <v>83200</v>
      </c>
    </row>
    <row r="8" customFormat="false" ht="15" hidden="false" customHeight="false" outlineLevel="0" collapsed="false">
      <c r="B8" s="22" t="s">
        <v>96</v>
      </c>
      <c r="C8" s="23" t="n">
        <v>49800</v>
      </c>
    </row>
    <row r="9" customFormat="false" ht="15" hidden="false" customHeight="false" outlineLevel="0" collapsed="false">
      <c r="B9" s="22" t="s">
        <v>99</v>
      </c>
      <c r="C9" s="23" t="n">
        <v>31200</v>
      </c>
    </row>
    <row r="10" customFormat="false" ht="15" hidden="false" customHeight="false" outlineLevel="0" collapsed="false">
      <c r="B10" s="22" t="s">
        <v>102</v>
      </c>
      <c r="C10" s="23" t="n">
        <v>82400</v>
      </c>
    </row>
    <row r="13" customFormat="false" ht="16.15" hidden="false" customHeight="false" outlineLevel="0" collapsed="false">
      <c r="B13" s="5" t="s">
        <v>163</v>
      </c>
    </row>
    <row r="14" customFormat="false" ht="15" hidden="false" customHeight="false" outlineLevel="0" collapsed="false">
      <c r="B14" s="6" t="s">
        <v>164</v>
      </c>
      <c r="C14" s="6" t="s">
        <v>165</v>
      </c>
    </row>
    <row r="15" customFormat="false" ht="15" hidden="false" customHeight="false" outlineLevel="0" collapsed="false">
      <c r="B15" s="22" t="s">
        <v>166</v>
      </c>
      <c r="C15" s="23" t="n">
        <v>45000</v>
      </c>
    </row>
    <row r="16" customFormat="false" ht="15" hidden="false" customHeight="false" outlineLevel="0" collapsed="false">
      <c r="B16" s="22" t="s">
        <v>167</v>
      </c>
      <c r="C16" s="23" t="n">
        <v>52000</v>
      </c>
    </row>
    <row r="17" customFormat="false" ht="15" hidden="false" customHeight="false" outlineLevel="0" collapsed="false">
      <c r="B17" s="22" t="s">
        <v>168</v>
      </c>
      <c r="C17" s="23" t="n">
        <v>48000</v>
      </c>
    </row>
    <row r="18" customFormat="false" ht="15" hidden="false" customHeight="false" outlineLevel="0" collapsed="false">
      <c r="B18" s="22" t="s">
        <v>169</v>
      </c>
      <c r="C18" s="23" t="n">
        <v>61000</v>
      </c>
    </row>
    <row r="19" customFormat="false" ht="15" hidden="false" customHeight="false" outlineLevel="0" collapsed="false">
      <c r="B19" s="22" t="s">
        <v>170</v>
      </c>
      <c r="C19" s="23" t="n">
        <v>58000</v>
      </c>
    </row>
    <row r="20" customFormat="false" ht="15" hidden="false" customHeight="false" outlineLevel="0" collapsed="false">
      <c r="B20" s="22" t="s">
        <v>171</v>
      </c>
      <c r="C20" s="23" t="n">
        <v>72000</v>
      </c>
    </row>
    <row r="23" customFormat="false" ht="16.15" hidden="false" customHeight="false" outlineLevel="0" collapsed="false">
      <c r="B23" s="5" t="s">
        <v>172</v>
      </c>
    </row>
    <row r="24" customFormat="false" ht="15" hidden="false" customHeight="false" outlineLevel="0" collapsed="false">
      <c r="B24" s="6" t="s">
        <v>135</v>
      </c>
      <c r="C24" s="6" t="s">
        <v>91</v>
      </c>
    </row>
    <row r="25" customFormat="false" ht="15" hidden="false" customHeight="false" outlineLevel="0" collapsed="false">
      <c r="B25" s="22" t="s">
        <v>137</v>
      </c>
      <c r="C25" s="23" t="n">
        <v>219000</v>
      </c>
    </row>
    <row r="26" customFormat="false" ht="15" hidden="false" customHeight="false" outlineLevel="0" collapsed="false">
      <c r="B26" s="22" t="s">
        <v>140</v>
      </c>
      <c r="C26" s="23" t="n">
        <v>35300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2026-03-20T02:49:05Z</dcterms:created>
  <dc:creator>openpyxl</dc:creator>
  <dc:description/>
  <dc:language>en-US</dc:language>
  <cp:lastModifiedBy/>
  <dcterms:modified xsi:type="dcterms:W3CDTF">2026-03-20T02:49:11Z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